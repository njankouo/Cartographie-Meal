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E76965E-0F79-41B8-88AF-68B12F766C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9" i="1" l="1"/>
  <c r="L39" i="1"/>
  <c r="K39" i="1"/>
  <c r="J39" i="1"/>
  <c r="I39" i="1"/>
  <c r="H39" i="1"/>
  <c r="G39" i="1"/>
  <c r="F39" i="1"/>
  <c r="E39" i="1"/>
  <c r="D39" i="1"/>
  <c r="C39" i="1"/>
  <c r="B39" i="1"/>
  <c r="M38" i="1"/>
  <c r="L38" i="1"/>
  <c r="K38" i="1"/>
  <c r="J38" i="1"/>
  <c r="I38" i="1"/>
  <c r="H38" i="1"/>
  <c r="G38" i="1"/>
  <c r="F38" i="1"/>
  <c r="E38" i="1"/>
  <c r="D38" i="1"/>
  <c r="C38" i="1"/>
  <c r="M36" i="1"/>
  <c r="L36" i="1"/>
  <c r="K36" i="1"/>
  <c r="J36" i="1"/>
  <c r="I36" i="1"/>
  <c r="H36" i="1"/>
  <c r="G36" i="1"/>
  <c r="F36" i="1"/>
  <c r="E36" i="1"/>
  <c r="D36" i="1"/>
  <c r="C36" i="1"/>
  <c r="M34" i="1"/>
  <c r="L34" i="1"/>
  <c r="K34" i="1"/>
  <c r="J34" i="1"/>
  <c r="I34" i="1"/>
  <c r="H34" i="1"/>
  <c r="G34" i="1"/>
  <c r="F34" i="1"/>
  <c r="E34" i="1"/>
  <c r="D34" i="1"/>
  <c r="C34" i="1"/>
  <c r="M32" i="1"/>
  <c r="L32" i="1"/>
  <c r="K32" i="1"/>
  <c r="J32" i="1"/>
  <c r="I32" i="1"/>
  <c r="H32" i="1"/>
  <c r="G32" i="1"/>
  <c r="F32" i="1"/>
  <c r="E32" i="1"/>
  <c r="D32" i="1"/>
  <c r="C32" i="1"/>
  <c r="M30" i="1"/>
  <c r="L30" i="1"/>
  <c r="K30" i="1"/>
  <c r="J30" i="1"/>
  <c r="I30" i="1"/>
  <c r="H30" i="1"/>
  <c r="G30" i="1"/>
  <c r="F30" i="1"/>
  <c r="E30" i="1"/>
  <c r="D30" i="1"/>
  <c r="C30" i="1"/>
  <c r="M28" i="1"/>
  <c r="L28" i="1"/>
  <c r="K28" i="1"/>
  <c r="J28" i="1"/>
  <c r="I28" i="1"/>
  <c r="H28" i="1"/>
  <c r="G28" i="1"/>
  <c r="F28" i="1"/>
  <c r="E28" i="1"/>
  <c r="D28" i="1"/>
  <c r="C28" i="1"/>
  <c r="M26" i="1"/>
  <c r="L26" i="1"/>
  <c r="K26" i="1"/>
  <c r="J26" i="1"/>
  <c r="I26" i="1"/>
  <c r="H26" i="1"/>
  <c r="G26" i="1"/>
  <c r="F26" i="1"/>
  <c r="E26" i="1"/>
  <c r="D26" i="1"/>
  <c r="C26" i="1"/>
  <c r="M24" i="1"/>
  <c r="L24" i="1"/>
  <c r="K24" i="1"/>
  <c r="J24" i="1"/>
  <c r="I24" i="1"/>
  <c r="H24" i="1"/>
  <c r="G24" i="1"/>
  <c r="F24" i="1"/>
  <c r="E24" i="1"/>
  <c r="D24" i="1"/>
  <c r="C24" i="1"/>
  <c r="M22" i="1"/>
  <c r="L22" i="1"/>
  <c r="K22" i="1"/>
  <c r="J22" i="1"/>
  <c r="I22" i="1"/>
  <c r="H22" i="1"/>
  <c r="G22" i="1"/>
  <c r="F22" i="1"/>
  <c r="E22" i="1"/>
  <c r="D22" i="1"/>
  <c r="C22" i="1"/>
  <c r="M20" i="1"/>
  <c r="L20" i="1"/>
  <c r="K20" i="1"/>
  <c r="J20" i="1"/>
  <c r="I20" i="1"/>
  <c r="H20" i="1"/>
  <c r="G20" i="1"/>
  <c r="F20" i="1"/>
  <c r="E20" i="1"/>
  <c r="D20" i="1"/>
  <c r="C20" i="1"/>
  <c r="M18" i="1"/>
  <c r="L18" i="1"/>
  <c r="K18" i="1"/>
  <c r="J18" i="1"/>
  <c r="I18" i="1"/>
  <c r="H18" i="1"/>
  <c r="G18" i="1"/>
  <c r="M14" i="1"/>
  <c r="L14" i="1"/>
  <c r="K14" i="1"/>
  <c r="J14" i="1"/>
  <c r="I14" i="1"/>
  <c r="H14" i="1"/>
  <c r="G14" i="1"/>
  <c r="F14" i="1"/>
  <c r="E14" i="1"/>
  <c r="D14" i="1"/>
  <c r="C14" i="1"/>
  <c r="B14" i="1"/>
  <c r="M3" i="1"/>
  <c r="L3" i="1"/>
  <c r="K3" i="1"/>
  <c r="J3" i="1"/>
  <c r="I3" i="1"/>
  <c r="H3" i="1"/>
  <c r="G3" i="1"/>
</calcChain>
</file>

<file path=xl/sharedStrings.xml><?xml version="1.0" encoding="utf-8"?>
<sst xmlns="http://schemas.openxmlformats.org/spreadsheetml/2006/main" count="38" uniqueCount="26">
  <si>
    <t xml:space="preserve">Evolution des  Pré-enrôlements par régions </t>
  </si>
  <si>
    <t>Régions</t>
  </si>
  <si>
    <t>Adamaoua</t>
  </si>
  <si>
    <t>Centre</t>
  </si>
  <si>
    <t>Est</t>
  </si>
  <si>
    <t>Extrême Nord</t>
  </si>
  <si>
    <t>Littoral</t>
  </si>
  <si>
    <t>Nord</t>
  </si>
  <si>
    <t>Nord Ouest</t>
  </si>
  <si>
    <t>Ouest</t>
  </si>
  <si>
    <t>Sud</t>
  </si>
  <si>
    <t>Sud Ouest</t>
  </si>
  <si>
    <t>TOTAL</t>
  </si>
  <si>
    <t xml:space="preserve">Evolution des Enrôlements par régions </t>
  </si>
  <si>
    <t>.16/5</t>
  </si>
  <si>
    <t>.22/5</t>
  </si>
  <si>
    <t>.29/5</t>
  </si>
  <si>
    <t>.5/6</t>
  </si>
  <si>
    <t>.12/6</t>
  </si>
  <si>
    <t>.19/6</t>
  </si>
  <si>
    <t>.26/6</t>
  </si>
  <si>
    <t>.3/7</t>
  </si>
  <si>
    <t>.10/7</t>
  </si>
  <si>
    <t>.17/7</t>
  </si>
  <si>
    <t>.24/7</t>
  </si>
  <si>
    <t>.31/7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</si>
</sst>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2" xfId="0" applyFont="1" applyBorder="1"/>
    <xf numFmtId="15" fontId="3" fillId="0" borderId="3" xfId="0" applyNumberFormat="1" applyFont="1" applyBorder="1"/>
    <xf numFmtId="15" fontId="3" fillId="0" borderId="4" xfId="0" applyNumberFormat="1" applyFont="1" applyBorder="1"/>
    <xf numFmtId="15" fontId="3" fillId="0" borderId="5" xfId="0" applyNumberFormat="1" applyFont="1" applyBorder="1"/>
    <xf numFmtId="0" fontId="4" fillId="0" borderId="6" xfId="0" applyFont="1" applyBorder="1"/>
    <xf numFmtId="164" fontId="4" fillId="2" borderId="7" xfId="1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0" fontId="4" fillId="0" borderId="9" xfId="0" applyFont="1" applyBorder="1"/>
    <xf numFmtId="164" fontId="4" fillId="2" borderId="10" xfId="1" applyNumberFormat="1" applyFont="1" applyFill="1" applyBorder="1" applyAlignment="1">
      <alignment horizontal="center"/>
    </xf>
    <xf numFmtId="164" fontId="4" fillId="2" borderId="11" xfId="1" applyNumberFormat="1" applyFont="1" applyFill="1" applyBorder="1" applyAlignment="1">
      <alignment horizontal="center"/>
    </xf>
    <xf numFmtId="0" fontId="4" fillId="0" borderId="12" xfId="0" applyFont="1" applyBorder="1"/>
    <xf numFmtId="164" fontId="4" fillId="2" borderId="13" xfId="1" applyNumberFormat="1" applyFont="1" applyFill="1" applyBorder="1" applyAlignment="1">
      <alignment horizontal="center"/>
    </xf>
    <xf numFmtId="164" fontId="4" fillId="2" borderId="14" xfId="1" applyNumberFormat="1" applyFont="1" applyFill="1" applyBorder="1" applyAlignment="1">
      <alignment horizontal="center"/>
    </xf>
    <xf numFmtId="0" fontId="4" fillId="0" borderId="15" xfId="0" applyFont="1" applyBorder="1"/>
    <xf numFmtId="164" fontId="4" fillId="2" borderId="4" xfId="1" applyNumberFormat="1" applyFont="1" applyFill="1" applyBorder="1" applyAlignment="1">
      <alignment horizontal="center"/>
    </xf>
    <xf numFmtId="164" fontId="4" fillId="2" borderId="5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6" xfId="0" applyFont="1" applyBorder="1"/>
    <xf numFmtId="164" fontId="4" fillId="2" borderId="17" xfId="1" applyNumberFormat="1" applyFont="1" applyFill="1" applyBorder="1" applyAlignment="1">
      <alignment horizontal="center"/>
    </xf>
    <xf numFmtId="9" fontId="4" fillId="3" borderId="17" xfId="2" applyFont="1" applyFill="1" applyBorder="1" applyAlignment="1">
      <alignment horizontal="center"/>
    </xf>
    <xf numFmtId="16" fontId="2" fillId="0" borderId="0" xfId="0" applyNumberFormat="1" applyFont="1" applyAlignment="1">
      <alignment horizontal="center"/>
    </xf>
    <xf numFmtId="9" fontId="4" fillId="4" borderId="17" xfId="2" applyFont="1" applyFill="1" applyBorder="1" applyAlignment="1">
      <alignment horizontal="center"/>
    </xf>
    <xf numFmtId="164" fontId="5" fillId="2" borderId="10" xfId="1" applyNumberFormat="1" applyFont="1" applyFill="1" applyBorder="1" applyAlignment="1">
      <alignment horizontal="center"/>
    </xf>
    <xf numFmtId="164" fontId="5" fillId="2" borderId="11" xfId="1" applyNumberFormat="1" applyFont="1" applyFill="1" applyBorder="1" applyAlignment="1">
      <alignment horizontal="center"/>
    </xf>
    <xf numFmtId="0" fontId="4" fillId="0" borderId="18" xfId="0" applyFont="1" applyBorder="1"/>
    <xf numFmtId="164" fontId="4" fillId="2" borderId="19" xfId="1" applyNumberFormat="1" applyFont="1" applyFill="1" applyBorder="1" applyAlignment="1">
      <alignment horizontal="center"/>
    </xf>
    <xf numFmtId="0" fontId="4" fillId="0" borderId="20" xfId="0" applyFont="1" applyBorder="1"/>
    <xf numFmtId="164" fontId="4" fillId="2" borderId="2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Centre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319178724757E-2"/>
          <c:y val="0.17455673666226038"/>
          <c:w val="0.90040154257661853"/>
          <c:h val="0.74997093676362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B6-4D15-8260-3C76CDF0F1AC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B6-4D15-8260-3C76CDF0F1AC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B6-4D15-8260-3C76CDF0F1AC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B6-4D15-8260-3C76CDF0F1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Sheet1!$B$17:$M$17</c:f>
              <c:strCache>
                <c:ptCount val="12"/>
                <c:pt idx="0">
                  <c:v>.16/5</c:v>
                </c:pt>
                <c:pt idx="1">
                  <c:v>.22/5</c:v>
                </c:pt>
                <c:pt idx="2">
                  <c:v>.29/5</c:v>
                </c:pt>
                <c:pt idx="3">
                  <c:v>.5/6</c:v>
                </c:pt>
                <c:pt idx="4">
                  <c:v>.12/6</c:v>
                </c:pt>
                <c:pt idx="5">
                  <c:v>.19/6</c:v>
                </c:pt>
                <c:pt idx="6">
                  <c:v>.26/6</c:v>
                </c:pt>
                <c:pt idx="7">
                  <c:v>.3/7</c:v>
                </c:pt>
                <c:pt idx="8">
                  <c:v>.10/7</c:v>
                </c:pt>
                <c:pt idx="9">
                  <c:v>.17/7</c:v>
                </c:pt>
                <c:pt idx="10">
                  <c:v>.24/7</c:v>
                </c:pt>
                <c:pt idx="11">
                  <c:v>.31/7</c:v>
                </c:pt>
              </c:strCache>
            </c:strRef>
          </c:cat>
          <c:val>
            <c:numRef>
              <c:f>Sheet1!$B$21:$M$21</c:f>
              <c:numCache>
                <c:formatCode>_-* #\ ##0_-;\-* #\ ##0_-;_-* "-"??_-;_-@_-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151</c:v>
                </c:pt>
                <c:pt idx="3">
                  <c:v>226</c:v>
                </c:pt>
                <c:pt idx="4">
                  <c:v>271</c:v>
                </c:pt>
                <c:pt idx="5">
                  <c:v>276</c:v>
                </c:pt>
                <c:pt idx="6">
                  <c:v>295</c:v>
                </c:pt>
                <c:pt idx="7">
                  <c:v>307</c:v>
                </c:pt>
                <c:pt idx="8">
                  <c:v>348</c:v>
                </c:pt>
                <c:pt idx="9">
                  <c:v>397</c:v>
                </c:pt>
                <c:pt idx="10">
                  <c:v>401</c:v>
                </c:pt>
                <c:pt idx="11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B6-4D15-8260-3C76CDF0F1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2765664"/>
        <c:axId val="472766840"/>
      </c:barChart>
      <c:catAx>
        <c:axId val="4727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766840"/>
        <c:crosses val="autoZero"/>
        <c:auto val="1"/>
        <c:lblAlgn val="ctr"/>
        <c:lblOffset val="100"/>
        <c:noMultiLvlLbl val="0"/>
      </c:catAx>
      <c:valAx>
        <c:axId val="4727668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4727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319178724757E-2"/>
          <c:y val="0.17455673666226038"/>
          <c:w val="0.90040154257661853"/>
          <c:h val="0.74997093676362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Sheet1!$B$17:$M$17</c:f>
              <c:strCache>
                <c:ptCount val="12"/>
                <c:pt idx="0">
                  <c:v>.16/5</c:v>
                </c:pt>
                <c:pt idx="1">
                  <c:v>.22/5</c:v>
                </c:pt>
                <c:pt idx="2">
                  <c:v>.29/5</c:v>
                </c:pt>
                <c:pt idx="3">
                  <c:v>.5/6</c:v>
                </c:pt>
                <c:pt idx="4">
                  <c:v>.12/6</c:v>
                </c:pt>
                <c:pt idx="5">
                  <c:v>.19/6</c:v>
                </c:pt>
                <c:pt idx="6">
                  <c:v>.26/6</c:v>
                </c:pt>
                <c:pt idx="7">
                  <c:v>.3/7</c:v>
                </c:pt>
                <c:pt idx="8">
                  <c:v>.10/7</c:v>
                </c:pt>
                <c:pt idx="9">
                  <c:v>.17/7</c:v>
                </c:pt>
                <c:pt idx="10">
                  <c:v>.24/7</c:v>
                </c:pt>
                <c:pt idx="11">
                  <c:v>.31/7</c:v>
                </c:pt>
              </c:strCache>
            </c:strRef>
          </c:cat>
          <c:val>
            <c:numRef>
              <c:f>Sheet1!$B$23:$M$23</c:f>
              <c:numCache>
                <c:formatCode>_-* #\ ##0_-;\-* #\ ##0_-;_-* "-"??_-;_-@_-</c:formatCode>
                <c:ptCount val="12"/>
                <c:pt idx="0">
                  <c:v>314</c:v>
                </c:pt>
                <c:pt idx="1">
                  <c:v>314</c:v>
                </c:pt>
                <c:pt idx="2">
                  <c:v>314</c:v>
                </c:pt>
                <c:pt idx="3">
                  <c:v>317</c:v>
                </c:pt>
                <c:pt idx="4">
                  <c:v>421</c:v>
                </c:pt>
                <c:pt idx="5">
                  <c:v>434</c:v>
                </c:pt>
                <c:pt idx="6">
                  <c:v>463</c:v>
                </c:pt>
                <c:pt idx="7">
                  <c:v>474</c:v>
                </c:pt>
                <c:pt idx="8">
                  <c:v>1032</c:v>
                </c:pt>
                <c:pt idx="9">
                  <c:v>10925</c:v>
                </c:pt>
                <c:pt idx="10">
                  <c:v>20448</c:v>
                </c:pt>
                <c:pt idx="11">
                  <c:v>27948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3-465B-BFEA-878ED8910D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0482928"/>
        <c:axId val="480483712"/>
      </c:barChart>
      <c:catAx>
        <c:axId val="48048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0483712"/>
        <c:crosses val="autoZero"/>
        <c:auto val="1"/>
        <c:lblAlgn val="ctr"/>
        <c:lblOffset val="100"/>
        <c:noMultiLvlLbl val="0"/>
      </c:catAx>
      <c:valAx>
        <c:axId val="480483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48048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Extrême Nord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319178724757E-2"/>
          <c:y val="0.17455673666226038"/>
          <c:w val="0.90040154257661853"/>
          <c:h val="0.74997093676362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C5-4F12-888D-58A4B24557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Sheet1!$B$17:$M$17</c:f>
              <c:strCache>
                <c:ptCount val="12"/>
                <c:pt idx="0">
                  <c:v>.16/5</c:v>
                </c:pt>
                <c:pt idx="1">
                  <c:v>.22/5</c:v>
                </c:pt>
                <c:pt idx="2">
                  <c:v>.29/5</c:v>
                </c:pt>
                <c:pt idx="3">
                  <c:v>.5/6</c:v>
                </c:pt>
                <c:pt idx="4">
                  <c:v>.12/6</c:v>
                </c:pt>
                <c:pt idx="5">
                  <c:v>.19/6</c:v>
                </c:pt>
                <c:pt idx="6">
                  <c:v>.26/6</c:v>
                </c:pt>
                <c:pt idx="7">
                  <c:v>.3/7</c:v>
                </c:pt>
                <c:pt idx="8">
                  <c:v>.10/7</c:v>
                </c:pt>
                <c:pt idx="9">
                  <c:v>.17/7</c:v>
                </c:pt>
                <c:pt idx="10">
                  <c:v>.24/7</c:v>
                </c:pt>
                <c:pt idx="11">
                  <c:v>.31/7</c:v>
                </c:pt>
              </c:strCache>
            </c:strRef>
          </c:cat>
          <c:val>
            <c:numRef>
              <c:f>Sheet1!$B$25:$M$25</c:f>
              <c:numCache>
                <c:formatCode>_-* #\ ##0_-;\-* #\ ##0_-;_-* "-"??_-;_-@_-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232</c:v>
                </c:pt>
                <c:pt idx="3">
                  <c:v>350</c:v>
                </c:pt>
                <c:pt idx="4">
                  <c:v>1031</c:v>
                </c:pt>
                <c:pt idx="5">
                  <c:v>1846</c:v>
                </c:pt>
                <c:pt idx="6">
                  <c:v>3350</c:v>
                </c:pt>
                <c:pt idx="7">
                  <c:v>4210</c:v>
                </c:pt>
                <c:pt idx="8">
                  <c:v>5106</c:v>
                </c:pt>
                <c:pt idx="9">
                  <c:v>5950</c:v>
                </c:pt>
                <c:pt idx="10">
                  <c:v>6389</c:v>
                </c:pt>
                <c:pt idx="11">
                  <c:v>8518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C5-4F12-888D-58A4B24557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6827304"/>
        <c:axId val="376832400"/>
      </c:barChart>
      <c:catAx>
        <c:axId val="37682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832400"/>
        <c:crosses val="autoZero"/>
        <c:auto val="1"/>
        <c:lblAlgn val="ctr"/>
        <c:lblOffset val="100"/>
        <c:noMultiLvlLbl val="0"/>
      </c:catAx>
      <c:valAx>
        <c:axId val="376832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37682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319178724757E-2"/>
          <c:y val="0.17455673666226038"/>
          <c:w val="0.90040154257661853"/>
          <c:h val="0.74997093676362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3"/>
              <c:spPr>
                <a:solidFill>
                  <a:srgbClr val="C0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6E2-46BD-BAE6-CE271994C7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Sheet1!$B$17:$M$17</c:f>
              <c:strCache>
                <c:ptCount val="12"/>
                <c:pt idx="0">
                  <c:v>.16/5</c:v>
                </c:pt>
                <c:pt idx="1">
                  <c:v>.22/5</c:v>
                </c:pt>
                <c:pt idx="2">
                  <c:v>.29/5</c:v>
                </c:pt>
                <c:pt idx="3">
                  <c:v>.5/6</c:v>
                </c:pt>
                <c:pt idx="4">
                  <c:v>.12/6</c:v>
                </c:pt>
                <c:pt idx="5">
                  <c:v>.19/6</c:v>
                </c:pt>
                <c:pt idx="6">
                  <c:v>.26/6</c:v>
                </c:pt>
                <c:pt idx="7">
                  <c:v>.3/7</c:v>
                </c:pt>
                <c:pt idx="8">
                  <c:v>.10/7</c:v>
                </c:pt>
                <c:pt idx="9">
                  <c:v>.17/7</c:v>
                </c:pt>
                <c:pt idx="10">
                  <c:v>.24/7</c:v>
                </c:pt>
                <c:pt idx="11">
                  <c:v>.31/7</c:v>
                </c:pt>
              </c:strCache>
            </c:strRef>
          </c:cat>
          <c:val>
            <c:numRef>
              <c:f>Sheet1!$B$29:$L$29</c:f>
              <c:numCache>
                <c:formatCode>_-* #\ ##0_-;\-* #\ ##0_-;_-* "-"??_-;_-@_-</c:formatCode>
                <c:ptCount val="11"/>
                <c:pt idx="0">
                  <c:v>15</c:v>
                </c:pt>
                <c:pt idx="1">
                  <c:v>19</c:v>
                </c:pt>
                <c:pt idx="2">
                  <c:v>40</c:v>
                </c:pt>
                <c:pt idx="3">
                  <c:v>40</c:v>
                </c:pt>
                <c:pt idx="4">
                  <c:v>55</c:v>
                </c:pt>
                <c:pt idx="5">
                  <c:v>140</c:v>
                </c:pt>
                <c:pt idx="6">
                  <c:v>195</c:v>
                </c:pt>
                <c:pt idx="7">
                  <c:v>256</c:v>
                </c:pt>
                <c:pt idx="8">
                  <c:v>306</c:v>
                </c:pt>
                <c:pt idx="9">
                  <c:v>346</c:v>
                </c:pt>
                <c:pt idx="10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E2-46BD-BAE6-CE271994C7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6827304"/>
        <c:axId val="376832400"/>
      </c:barChart>
      <c:catAx>
        <c:axId val="37682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832400"/>
        <c:crosses val="autoZero"/>
        <c:auto val="1"/>
        <c:lblAlgn val="ctr"/>
        <c:lblOffset val="100"/>
        <c:noMultiLvlLbl val="0"/>
      </c:catAx>
      <c:valAx>
        <c:axId val="376832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37682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LITTORAL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319178724757E-2"/>
          <c:y val="0.17455673666226038"/>
          <c:w val="0.90040154257661853"/>
          <c:h val="0.74997093676362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49C-41B5-ABCA-455CA16830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Sheet1!$B$17:$M$17</c:f>
              <c:strCache>
                <c:ptCount val="12"/>
                <c:pt idx="0">
                  <c:v>.16/5</c:v>
                </c:pt>
                <c:pt idx="1">
                  <c:v>.22/5</c:v>
                </c:pt>
                <c:pt idx="2">
                  <c:v>.29/5</c:v>
                </c:pt>
                <c:pt idx="3">
                  <c:v>.5/6</c:v>
                </c:pt>
                <c:pt idx="4">
                  <c:v>.12/6</c:v>
                </c:pt>
                <c:pt idx="5">
                  <c:v>.19/6</c:v>
                </c:pt>
                <c:pt idx="6">
                  <c:v>.26/6</c:v>
                </c:pt>
                <c:pt idx="7">
                  <c:v>.3/7</c:v>
                </c:pt>
                <c:pt idx="8">
                  <c:v>.10/7</c:v>
                </c:pt>
                <c:pt idx="9">
                  <c:v>.17/7</c:v>
                </c:pt>
                <c:pt idx="10">
                  <c:v>.24/7</c:v>
                </c:pt>
                <c:pt idx="11">
                  <c:v>.31/7</c:v>
                </c:pt>
              </c:strCache>
            </c:strRef>
          </c:cat>
          <c:val>
            <c:numRef>
              <c:f>Sheet1!$B$27:$L$27</c:f>
              <c:numCache>
                <c:formatCode>_-* #\ ##0_-;\-* #\ ##0_-;_-* "-"??_-;_-@_-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16</c:v>
                </c:pt>
                <c:pt idx="3">
                  <c:v>18</c:v>
                </c:pt>
                <c:pt idx="4">
                  <c:v>21</c:v>
                </c:pt>
                <c:pt idx="5">
                  <c:v>26</c:v>
                </c:pt>
                <c:pt idx="6">
                  <c:v>283</c:v>
                </c:pt>
                <c:pt idx="7">
                  <c:v>384</c:v>
                </c:pt>
                <c:pt idx="8">
                  <c:v>732</c:v>
                </c:pt>
                <c:pt idx="9">
                  <c:v>1699</c:v>
                </c:pt>
                <c:pt idx="10">
                  <c:v>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C-41B5-ABCA-455CA16830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6827304"/>
        <c:axId val="376832400"/>
      </c:barChart>
      <c:catAx>
        <c:axId val="37682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832400"/>
        <c:crosses val="autoZero"/>
        <c:auto val="1"/>
        <c:lblAlgn val="ctr"/>
        <c:lblOffset val="100"/>
        <c:noMultiLvlLbl val="0"/>
      </c:catAx>
      <c:valAx>
        <c:axId val="376832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37682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NORD</a:t>
            </a:r>
            <a:r>
              <a:rPr lang="fr-FR" baseline="0"/>
              <a:t> OUEST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319178724757E-2"/>
          <c:y val="0.17455673666226038"/>
          <c:w val="0.90040154257661853"/>
          <c:h val="0.74997093676362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EE-4051-8B88-FAA28A5858CC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EE-4051-8B88-FAA28A5858CC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EE-4051-8B88-FAA28A5858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Sheet1!$B$17:$M$17</c:f>
              <c:strCache>
                <c:ptCount val="12"/>
                <c:pt idx="0">
                  <c:v>.16/5</c:v>
                </c:pt>
                <c:pt idx="1">
                  <c:v>.22/5</c:v>
                </c:pt>
                <c:pt idx="2">
                  <c:v>.29/5</c:v>
                </c:pt>
                <c:pt idx="3">
                  <c:v>.5/6</c:v>
                </c:pt>
                <c:pt idx="4">
                  <c:v>.12/6</c:v>
                </c:pt>
                <c:pt idx="5">
                  <c:v>.19/6</c:v>
                </c:pt>
                <c:pt idx="6">
                  <c:v>.26/6</c:v>
                </c:pt>
                <c:pt idx="7">
                  <c:v>.3/7</c:v>
                </c:pt>
                <c:pt idx="8">
                  <c:v>.10/7</c:v>
                </c:pt>
                <c:pt idx="9">
                  <c:v>.17/7</c:v>
                </c:pt>
                <c:pt idx="10">
                  <c:v>.24/7</c:v>
                </c:pt>
                <c:pt idx="11">
                  <c:v>.31/7</c:v>
                </c:pt>
              </c:strCache>
            </c:strRef>
          </c:cat>
          <c:val>
            <c:numRef>
              <c:f>Sheet1!$B$31:$M$31</c:f>
              <c:numCache>
                <c:formatCode>_-* #\ ##0_-;\-* #\ ##0_-;_-* "-"??_-;_-@_-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81</c:v>
                </c:pt>
                <c:pt idx="3">
                  <c:v>109</c:v>
                </c:pt>
                <c:pt idx="4">
                  <c:v>1789</c:v>
                </c:pt>
                <c:pt idx="5">
                  <c:v>11129</c:v>
                </c:pt>
                <c:pt idx="6">
                  <c:v>20894</c:v>
                </c:pt>
                <c:pt idx="7">
                  <c:v>26462</c:v>
                </c:pt>
                <c:pt idx="8">
                  <c:v>32431</c:v>
                </c:pt>
                <c:pt idx="9">
                  <c:v>37632</c:v>
                </c:pt>
                <c:pt idx="10">
                  <c:v>38398</c:v>
                </c:pt>
                <c:pt idx="11">
                  <c:v>40268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EE-4051-8B88-FAA28A5858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6827304"/>
        <c:axId val="376832400"/>
      </c:barChart>
      <c:catAx>
        <c:axId val="37682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832400"/>
        <c:crosses val="autoZero"/>
        <c:auto val="1"/>
        <c:lblAlgn val="ctr"/>
        <c:lblOffset val="100"/>
        <c:noMultiLvlLbl val="0"/>
      </c:catAx>
      <c:valAx>
        <c:axId val="376832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37682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OUEST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319178724757E-2"/>
          <c:y val="0.17455673666226038"/>
          <c:w val="0.90040154257661853"/>
          <c:h val="0.74997093676362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Sheet1!$B$17:$M$17</c:f>
              <c:strCache>
                <c:ptCount val="12"/>
                <c:pt idx="0">
                  <c:v>.16/5</c:v>
                </c:pt>
                <c:pt idx="1">
                  <c:v>.22/5</c:v>
                </c:pt>
                <c:pt idx="2">
                  <c:v>.29/5</c:v>
                </c:pt>
                <c:pt idx="3">
                  <c:v>.5/6</c:v>
                </c:pt>
                <c:pt idx="4">
                  <c:v>.12/6</c:v>
                </c:pt>
                <c:pt idx="5">
                  <c:v>.19/6</c:v>
                </c:pt>
                <c:pt idx="6">
                  <c:v>.26/6</c:v>
                </c:pt>
                <c:pt idx="7">
                  <c:v>.3/7</c:v>
                </c:pt>
                <c:pt idx="8">
                  <c:v>.10/7</c:v>
                </c:pt>
                <c:pt idx="9">
                  <c:v>.17/7</c:v>
                </c:pt>
                <c:pt idx="10">
                  <c:v>.24/7</c:v>
                </c:pt>
                <c:pt idx="11">
                  <c:v>.31/7</c:v>
                </c:pt>
              </c:strCache>
            </c:strRef>
          </c:cat>
          <c:val>
            <c:numRef>
              <c:f>Sheet1!$B$33:$M$33</c:f>
              <c:numCache>
                <c:formatCode>_-* #\ ##0_-;\-* #\ ##0_-;_-* "-"??_-;_-@_-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9</c:v>
                </c:pt>
                <c:pt idx="3">
                  <c:v>9</c:v>
                </c:pt>
                <c:pt idx="4">
                  <c:v>86</c:v>
                </c:pt>
                <c:pt idx="5">
                  <c:v>1349</c:v>
                </c:pt>
                <c:pt idx="6">
                  <c:v>4738</c:v>
                </c:pt>
                <c:pt idx="7">
                  <c:v>6949</c:v>
                </c:pt>
                <c:pt idx="8">
                  <c:v>16122</c:v>
                </c:pt>
                <c:pt idx="9">
                  <c:v>22038</c:v>
                </c:pt>
                <c:pt idx="10">
                  <c:v>26946</c:v>
                </c:pt>
                <c:pt idx="11">
                  <c:v>33421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35-4359-B5A9-F98D36A2B6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6827304"/>
        <c:axId val="376832400"/>
      </c:barChart>
      <c:catAx>
        <c:axId val="37682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832400"/>
        <c:crosses val="autoZero"/>
        <c:auto val="1"/>
        <c:lblAlgn val="ctr"/>
        <c:lblOffset val="100"/>
        <c:noMultiLvlLbl val="0"/>
      </c:catAx>
      <c:valAx>
        <c:axId val="376832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37682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SUD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319178724757E-2"/>
          <c:y val="0.17455673666226038"/>
          <c:w val="0.90040154257661853"/>
          <c:h val="0.74997093676362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6E9-43F1-AD12-9143C64776A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E9-43F1-AD12-9143C64776A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6E9-43F1-AD12-9143C64776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Sheet1!$B$17:$M$17</c:f>
              <c:strCache>
                <c:ptCount val="12"/>
                <c:pt idx="0">
                  <c:v>.16/5</c:v>
                </c:pt>
                <c:pt idx="1">
                  <c:v>.22/5</c:v>
                </c:pt>
                <c:pt idx="2">
                  <c:v>.29/5</c:v>
                </c:pt>
                <c:pt idx="3">
                  <c:v>.5/6</c:v>
                </c:pt>
                <c:pt idx="4">
                  <c:v>.12/6</c:v>
                </c:pt>
                <c:pt idx="5">
                  <c:v>.19/6</c:v>
                </c:pt>
                <c:pt idx="6">
                  <c:v>.26/6</c:v>
                </c:pt>
                <c:pt idx="7">
                  <c:v>.3/7</c:v>
                </c:pt>
                <c:pt idx="8">
                  <c:v>.10/7</c:v>
                </c:pt>
                <c:pt idx="9">
                  <c:v>.17/7</c:v>
                </c:pt>
                <c:pt idx="10">
                  <c:v>.24/7</c:v>
                </c:pt>
                <c:pt idx="11">
                  <c:v>.31/7</c:v>
                </c:pt>
              </c:strCache>
            </c:strRef>
          </c:cat>
          <c:val>
            <c:numRef>
              <c:f>Sheet1!$B$35:$M$35</c:f>
              <c:numCache>
                <c:formatCode>_-* #.##0_-;\-* #.##0_-;_-* "-"??_-;_-@_-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37</c:v>
                </c:pt>
                <c:pt idx="3">
                  <c:v>39</c:v>
                </c:pt>
                <c:pt idx="4">
                  <c:v>165</c:v>
                </c:pt>
                <c:pt idx="5">
                  <c:v>733</c:v>
                </c:pt>
                <c:pt idx="6">
                  <c:v>1060</c:v>
                </c:pt>
                <c:pt idx="7">
                  <c:v>1561</c:v>
                </c:pt>
                <c:pt idx="8">
                  <c:v>4277</c:v>
                </c:pt>
                <c:pt idx="9">
                  <c:v>7492</c:v>
                </c:pt>
                <c:pt idx="10">
                  <c:v>8416</c:v>
                </c:pt>
                <c:pt idx="11">
                  <c:v>10377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D-4CAC-9DFC-2B6C4E41BF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6827304"/>
        <c:axId val="376832400"/>
      </c:barChart>
      <c:catAx>
        <c:axId val="37682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832400"/>
        <c:crosses val="autoZero"/>
        <c:auto val="1"/>
        <c:lblAlgn val="ctr"/>
        <c:lblOffset val="100"/>
        <c:noMultiLvlLbl val="0"/>
      </c:catAx>
      <c:valAx>
        <c:axId val="376832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.##0_-;\-* #.##0_-;_-* &quot;-&quot;??_-;_-@_-" sourceLinked="1"/>
        <c:majorTickMark val="none"/>
        <c:minorTickMark val="none"/>
        <c:tickLblPos val="nextTo"/>
        <c:crossAx val="37682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SUD OUEST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319178724757E-2"/>
          <c:y val="0.17455673666226038"/>
          <c:w val="0.90040154257661853"/>
          <c:h val="0.74997093676362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9A-446F-B4F0-239517BE6C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Sheet1!$B$17:$M$17</c:f>
              <c:strCache>
                <c:ptCount val="12"/>
                <c:pt idx="0">
                  <c:v>.16/5</c:v>
                </c:pt>
                <c:pt idx="1">
                  <c:v>.22/5</c:v>
                </c:pt>
                <c:pt idx="2">
                  <c:v>.29/5</c:v>
                </c:pt>
                <c:pt idx="3">
                  <c:v>.5/6</c:v>
                </c:pt>
                <c:pt idx="4">
                  <c:v>.12/6</c:v>
                </c:pt>
                <c:pt idx="5">
                  <c:v>.19/6</c:v>
                </c:pt>
                <c:pt idx="6">
                  <c:v>.26/6</c:v>
                </c:pt>
                <c:pt idx="7">
                  <c:v>.3/7</c:v>
                </c:pt>
                <c:pt idx="8">
                  <c:v>.10/7</c:v>
                </c:pt>
                <c:pt idx="9">
                  <c:v>.17/7</c:v>
                </c:pt>
                <c:pt idx="10">
                  <c:v>.24/7</c:v>
                </c:pt>
                <c:pt idx="11">
                  <c:v>.31/7</c:v>
                </c:pt>
              </c:strCache>
            </c:strRef>
          </c:cat>
          <c:val>
            <c:numRef>
              <c:f>Sheet1!$B$37:$M$37</c:f>
              <c:numCache>
                <c:formatCode>_-* #.##0_-;\-* #.##0_-;_-* "-"??_-;_-@_-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9</c:v>
                </c:pt>
                <c:pt idx="3">
                  <c:v>43</c:v>
                </c:pt>
                <c:pt idx="4">
                  <c:v>57</c:v>
                </c:pt>
                <c:pt idx="5">
                  <c:v>82</c:v>
                </c:pt>
                <c:pt idx="6">
                  <c:v>119</c:v>
                </c:pt>
                <c:pt idx="7">
                  <c:v>134</c:v>
                </c:pt>
                <c:pt idx="8">
                  <c:v>318</c:v>
                </c:pt>
                <c:pt idx="9">
                  <c:v>899</c:v>
                </c:pt>
                <c:pt idx="10">
                  <c:v>2200</c:v>
                </c:pt>
                <c:pt idx="11">
                  <c:v>5086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A-446F-B4F0-239517BE6C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6827304"/>
        <c:axId val="376832400"/>
      </c:barChart>
      <c:catAx>
        <c:axId val="37682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6832400"/>
        <c:crosses val="autoZero"/>
        <c:auto val="1"/>
        <c:lblAlgn val="ctr"/>
        <c:lblOffset val="100"/>
        <c:noMultiLvlLbl val="0"/>
      </c:catAx>
      <c:valAx>
        <c:axId val="376832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.##0_-;\-* #.##0_-;_-* &quot;-&quot;??_-;_-@_-" sourceLinked="1"/>
        <c:majorTickMark val="none"/>
        <c:minorTickMark val="none"/>
        <c:tickLblPos val="nextTo"/>
        <c:crossAx val="37682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38</xdr:row>
      <xdr:rowOff>242886</xdr:rowOff>
    </xdr:from>
    <xdr:to>
      <xdr:col>9</xdr:col>
      <xdr:colOff>771524</xdr:colOff>
      <xdr:row>51</xdr:row>
      <xdr:rowOff>28575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790575</xdr:colOff>
      <xdr:row>38</xdr:row>
      <xdr:rowOff>209550</xdr:rowOff>
    </xdr:from>
    <xdr:to>
      <xdr:col>15</xdr:col>
      <xdr:colOff>361950</xdr:colOff>
      <xdr:row>51</xdr:row>
      <xdr:rowOff>47625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39</xdr:row>
      <xdr:rowOff>9525</xdr:rowOff>
    </xdr:from>
    <xdr:to>
      <xdr:col>4</xdr:col>
      <xdr:colOff>485775</xdr:colOff>
      <xdr:row>51</xdr:row>
      <xdr:rowOff>38100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5</xdr:col>
      <xdr:colOff>96320</xdr:colOff>
      <xdr:row>65</xdr:row>
      <xdr:rowOff>32107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1CEF43-5022-42F1-909D-1F73CF5C3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133350</xdr:colOff>
      <xdr:row>52</xdr:row>
      <xdr:rowOff>9525</xdr:rowOff>
    </xdr:from>
    <xdr:to>
      <xdr:col>10</xdr:col>
      <xdr:colOff>107022</xdr:colOff>
      <xdr:row>65</xdr:row>
      <xdr:rowOff>53511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E4D0926-BCE8-4B12-8FDE-32DDBE809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203341</xdr:colOff>
      <xdr:row>51</xdr:row>
      <xdr:rowOff>171236</xdr:rowOff>
    </xdr:from>
    <xdr:to>
      <xdr:col>16</xdr:col>
      <xdr:colOff>278258</xdr:colOff>
      <xdr:row>65</xdr:row>
      <xdr:rowOff>42809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EA5CA27-EEE1-4270-AC9C-06274C88A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66</xdr:row>
      <xdr:rowOff>21405</xdr:rowOff>
    </xdr:from>
    <xdr:to>
      <xdr:col>5</xdr:col>
      <xdr:colOff>374579</xdr:colOff>
      <xdr:row>79</xdr:row>
      <xdr:rowOff>85618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883045A-AF02-4B5E-A340-9F2D2E3F4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438791</xdr:colOff>
      <xdr:row>66</xdr:row>
      <xdr:rowOff>1</xdr:rowOff>
    </xdr:from>
    <xdr:to>
      <xdr:col>10</xdr:col>
      <xdr:colOff>717050</xdr:colOff>
      <xdr:row>79</xdr:row>
      <xdr:rowOff>64214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E0241C19-D3FF-459C-AB6B-62428D556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802668</xdr:colOff>
      <xdr:row>66</xdr:row>
      <xdr:rowOff>0</xdr:rowOff>
    </xdr:from>
    <xdr:to>
      <xdr:col>17</xdr:col>
      <xdr:colOff>267557</xdr:colOff>
      <xdr:row>79</xdr:row>
      <xdr:rowOff>64213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D96BA4D-C809-499D-8FA9-14D90EF4E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9"/>
  <sheetViews>
    <sheetView tabSelected="1" topLeftCell="F56" zoomScale="89" zoomScaleNormal="89" workbookViewId="0">
      <selection activeCell="S63" sqref="S63"/>
    </sheetView>
  </sheetViews>
  <sheetFormatPr baseColWidth="10" defaultColWidth="9.140625" defaultRowHeight="15" x14ac:dyDescent="0.25"/>
  <cols>
    <col min="1" max="1" width="16.5703125" bestFit="1" customWidth="1"/>
    <col min="2" max="5" width="10.7109375" bestFit="1" customWidth="1"/>
    <col min="6" max="6" width="12.140625" bestFit="1" customWidth="1"/>
    <col min="7" max="7" width="12.140625" customWidth="1"/>
    <col min="8" max="13" width="12.140625" bestFit="1" customWidth="1"/>
  </cols>
  <sheetData>
    <row r="2" spans="1:13" ht="19.5" thickBot="1" x14ac:dyDescent="0.35">
      <c r="B2" s="29" t="s">
        <v>0</v>
      </c>
      <c r="C2" s="29"/>
      <c r="D2" s="29"/>
      <c r="E2" s="29"/>
      <c r="F2" s="29"/>
      <c r="G2" s="29"/>
      <c r="H2" s="29"/>
      <c r="I2" s="29"/>
      <c r="J2" s="29"/>
    </row>
    <row r="3" spans="1:13" ht="19.5" thickBot="1" x14ac:dyDescent="0.35">
      <c r="A3" s="1" t="s">
        <v>1</v>
      </c>
      <c r="B3" s="2">
        <v>45062</v>
      </c>
      <c r="C3" s="3">
        <v>45068</v>
      </c>
      <c r="D3" s="3">
        <v>45075</v>
      </c>
      <c r="E3" s="3">
        <v>45082</v>
      </c>
      <c r="F3" s="3">
        <v>45089</v>
      </c>
      <c r="G3" s="3">
        <f t="shared" ref="G3:M3" si="0">+F3+7</f>
        <v>45096</v>
      </c>
      <c r="H3" s="3">
        <f t="shared" si="0"/>
        <v>45103</v>
      </c>
      <c r="I3" s="3">
        <f t="shared" si="0"/>
        <v>45110</v>
      </c>
      <c r="J3" s="4">
        <f t="shared" si="0"/>
        <v>45117</v>
      </c>
      <c r="K3" s="4">
        <f t="shared" si="0"/>
        <v>45124</v>
      </c>
      <c r="L3" s="4">
        <f t="shared" si="0"/>
        <v>45131</v>
      </c>
      <c r="M3" s="4">
        <f t="shared" si="0"/>
        <v>45138</v>
      </c>
    </row>
    <row r="4" spans="1:13" ht="18.75" x14ac:dyDescent="0.3">
      <c r="A4" s="5" t="s">
        <v>2</v>
      </c>
      <c r="B4" s="6">
        <v>1272</v>
      </c>
      <c r="C4" s="6">
        <v>2804</v>
      </c>
      <c r="D4" s="6">
        <v>4819</v>
      </c>
      <c r="E4" s="6">
        <v>5877</v>
      </c>
      <c r="F4" s="6">
        <v>10633</v>
      </c>
      <c r="G4" s="6">
        <v>18462</v>
      </c>
      <c r="H4" s="6">
        <v>20795</v>
      </c>
      <c r="I4" s="6">
        <v>24403</v>
      </c>
      <c r="J4" s="7">
        <v>29891</v>
      </c>
      <c r="K4" s="7">
        <v>34104</v>
      </c>
      <c r="L4" s="7">
        <v>35349</v>
      </c>
      <c r="M4" s="7">
        <v>38290</v>
      </c>
    </row>
    <row r="5" spans="1:13" ht="18.75" x14ac:dyDescent="0.3">
      <c r="A5" s="8" t="s">
        <v>3</v>
      </c>
      <c r="B5" s="9">
        <v>802</v>
      </c>
      <c r="C5" s="9">
        <v>980</v>
      </c>
      <c r="D5" s="9">
        <v>1034</v>
      </c>
      <c r="E5" s="9">
        <v>1156</v>
      </c>
      <c r="F5" s="9">
        <v>2346</v>
      </c>
      <c r="G5" s="9">
        <v>3190</v>
      </c>
      <c r="H5" s="9">
        <v>4173</v>
      </c>
      <c r="I5" s="9">
        <v>6223</v>
      </c>
      <c r="J5" s="10">
        <v>13758</v>
      </c>
      <c r="K5" s="10">
        <v>18834</v>
      </c>
      <c r="L5" s="10">
        <v>21173</v>
      </c>
      <c r="M5" s="10">
        <v>32427</v>
      </c>
    </row>
    <row r="6" spans="1:13" ht="18.75" x14ac:dyDescent="0.3">
      <c r="A6" s="8" t="s">
        <v>4</v>
      </c>
      <c r="B6" s="9">
        <v>14800</v>
      </c>
      <c r="C6" s="9">
        <v>14923</v>
      </c>
      <c r="D6" s="9">
        <v>15125</v>
      </c>
      <c r="E6" s="9">
        <v>15229</v>
      </c>
      <c r="F6" s="9">
        <v>15742</v>
      </c>
      <c r="G6" s="9">
        <v>16350</v>
      </c>
      <c r="H6" s="9">
        <v>17271</v>
      </c>
      <c r="I6" s="9">
        <v>18642</v>
      </c>
      <c r="J6" s="10">
        <v>20463</v>
      </c>
      <c r="K6" s="10">
        <v>43518</v>
      </c>
      <c r="L6" s="10">
        <v>65460</v>
      </c>
      <c r="M6" s="10">
        <v>90954</v>
      </c>
    </row>
    <row r="7" spans="1:13" ht="18.75" x14ac:dyDescent="0.3">
      <c r="A7" s="8" t="s">
        <v>5</v>
      </c>
      <c r="B7" s="9">
        <v>2696</v>
      </c>
      <c r="C7" s="9">
        <v>6752</v>
      </c>
      <c r="D7" s="9">
        <v>13661</v>
      </c>
      <c r="E7" s="9">
        <v>16500</v>
      </c>
      <c r="F7" s="9">
        <v>20644</v>
      </c>
      <c r="G7" s="9">
        <v>25954</v>
      </c>
      <c r="H7" s="9">
        <v>31203</v>
      </c>
      <c r="I7" s="9">
        <v>34132</v>
      </c>
      <c r="J7" s="10">
        <v>37990</v>
      </c>
      <c r="K7" s="10">
        <v>42015</v>
      </c>
      <c r="L7" s="10">
        <v>45145</v>
      </c>
      <c r="M7" s="10">
        <v>60989</v>
      </c>
    </row>
    <row r="8" spans="1:13" ht="18.75" x14ac:dyDescent="0.3">
      <c r="A8" s="8" t="s">
        <v>6</v>
      </c>
      <c r="B8" s="9">
        <v>520</v>
      </c>
      <c r="C8" s="9">
        <v>819</v>
      </c>
      <c r="D8" s="9">
        <v>1154</v>
      </c>
      <c r="E8" s="9">
        <v>1359</v>
      </c>
      <c r="F8" s="9">
        <v>1746</v>
      </c>
      <c r="G8" s="9">
        <v>2329</v>
      </c>
      <c r="H8" s="9">
        <v>2657</v>
      </c>
      <c r="I8" s="9">
        <v>7955</v>
      </c>
      <c r="J8" s="10">
        <v>12586</v>
      </c>
      <c r="K8" s="10">
        <v>18372</v>
      </c>
      <c r="L8" s="10">
        <v>20139</v>
      </c>
      <c r="M8" s="10">
        <v>25530</v>
      </c>
    </row>
    <row r="9" spans="1:13" ht="18.75" x14ac:dyDescent="0.3">
      <c r="A9" s="8" t="s">
        <v>7</v>
      </c>
      <c r="B9" s="9">
        <v>1220</v>
      </c>
      <c r="C9" s="9">
        <v>1486</v>
      </c>
      <c r="D9" s="9">
        <v>1697</v>
      </c>
      <c r="E9" s="9">
        <v>1958</v>
      </c>
      <c r="F9" s="9">
        <v>7240</v>
      </c>
      <c r="G9" s="9">
        <v>18564</v>
      </c>
      <c r="H9" s="9">
        <v>27014</v>
      </c>
      <c r="I9" s="9">
        <v>32937</v>
      </c>
      <c r="J9" s="10">
        <v>39321</v>
      </c>
      <c r="K9" s="10">
        <v>42134</v>
      </c>
      <c r="L9" s="10">
        <v>42850</v>
      </c>
      <c r="M9" s="10">
        <v>42748</v>
      </c>
    </row>
    <row r="10" spans="1:13" ht="18.75" x14ac:dyDescent="0.3">
      <c r="A10" s="8" t="s">
        <v>8</v>
      </c>
      <c r="B10" s="9">
        <v>4548</v>
      </c>
      <c r="C10" s="9">
        <v>8496</v>
      </c>
      <c r="D10" s="9">
        <v>11842</v>
      </c>
      <c r="E10" s="9">
        <v>13705</v>
      </c>
      <c r="F10" s="9">
        <v>22367</v>
      </c>
      <c r="G10" s="9">
        <v>38904</v>
      </c>
      <c r="H10" s="9">
        <v>52916</v>
      </c>
      <c r="I10" s="9">
        <v>60989</v>
      </c>
      <c r="J10" s="10">
        <v>71983</v>
      </c>
      <c r="K10" s="10">
        <v>75634</v>
      </c>
      <c r="L10" s="10">
        <v>76724</v>
      </c>
      <c r="M10" s="10">
        <v>79135</v>
      </c>
    </row>
    <row r="11" spans="1:13" ht="18.75" x14ac:dyDescent="0.3">
      <c r="A11" s="8" t="s">
        <v>9</v>
      </c>
      <c r="B11" s="9">
        <v>4972</v>
      </c>
      <c r="C11" s="9">
        <v>6939</v>
      </c>
      <c r="D11" s="9">
        <v>9669</v>
      </c>
      <c r="E11" s="9">
        <v>11433</v>
      </c>
      <c r="F11" s="9">
        <v>15784</v>
      </c>
      <c r="G11" s="9">
        <v>20483</v>
      </c>
      <c r="H11" s="9">
        <v>21880</v>
      </c>
      <c r="I11" s="9">
        <v>24179</v>
      </c>
      <c r="J11" s="10">
        <v>30082</v>
      </c>
      <c r="K11" s="10">
        <v>31794</v>
      </c>
      <c r="L11" s="10">
        <v>31151</v>
      </c>
      <c r="M11" s="10">
        <v>31768</v>
      </c>
    </row>
    <row r="12" spans="1:13" ht="18.75" x14ac:dyDescent="0.3">
      <c r="A12" s="8" t="s">
        <v>10</v>
      </c>
      <c r="B12" s="9">
        <v>3162</v>
      </c>
      <c r="C12" s="9">
        <v>4301</v>
      </c>
      <c r="D12" s="9">
        <v>5973</v>
      </c>
      <c r="E12" s="9">
        <v>6655</v>
      </c>
      <c r="F12" s="9">
        <v>8387</v>
      </c>
      <c r="G12" s="9">
        <v>9388</v>
      </c>
      <c r="H12" s="9">
        <v>10753</v>
      </c>
      <c r="I12" s="9">
        <v>11971</v>
      </c>
      <c r="J12" s="10">
        <v>14663</v>
      </c>
      <c r="K12" s="10">
        <v>13682</v>
      </c>
      <c r="L12" s="10">
        <v>14222</v>
      </c>
      <c r="M12" s="10">
        <v>14664</v>
      </c>
    </row>
    <row r="13" spans="1:13" ht="19.5" thickBot="1" x14ac:dyDescent="0.35">
      <c r="A13" s="11" t="s">
        <v>11</v>
      </c>
      <c r="B13" s="12">
        <v>642</v>
      </c>
      <c r="C13" s="12">
        <v>1061</v>
      </c>
      <c r="D13" s="12">
        <v>2129</v>
      </c>
      <c r="E13" s="12">
        <v>2806</v>
      </c>
      <c r="F13" s="12">
        <v>3844</v>
      </c>
      <c r="G13" s="12">
        <v>5483</v>
      </c>
      <c r="H13" s="12">
        <v>7357</v>
      </c>
      <c r="I13" s="12">
        <v>9355</v>
      </c>
      <c r="J13" s="13">
        <v>14663</v>
      </c>
      <c r="K13" s="13">
        <v>18734</v>
      </c>
      <c r="L13" s="13">
        <v>19139</v>
      </c>
      <c r="M13" s="13">
        <v>20977</v>
      </c>
    </row>
    <row r="14" spans="1:13" ht="19.5" thickBot="1" x14ac:dyDescent="0.35">
      <c r="A14" s="14" t="s">
        <v>12</v>
      </c>
      <c r="B14" s="15">
        <f>SUM(B4:B13)</f>
        <v>34634</v>
      </c>
      <c r="C14" s="15">
        <f t="shared" ref="C14:M14" si="1">SUM(C4:C13)</f>
        <v>48561</v>
      </c>
      <c r="D14" s="15">
        <f t="shared" si="1"/>
        <v>67103</v>
      </c>
      <c r="E14" s="15">
        <f t="shared" si="1"/>
        <v>76678</v>
      </c>
      <c r="F14" s="15">
        <f t="shared" si="1"/>
        <v>108733</v>
      </c>
      <c r="G14" s="15">
        <f t="shared" si="1"/>
        <v>159107</v>
      </c>
      <c r="H14" s="15">
        <f t="shared" si="1"/>
        <v>196019</v>
      </c>
      <c r="I14" s="15">
        <f t="shared" si="1"/>
        <v>230786</v>
      </c>
      <c r="J14" s="16">
        <f t="shared" si="1"/>
        <v>285400</v>
      </c>
      <c r="K14" s="16">
        <f t="shared" si="1"/>
        <v>338821</v>
      </c>
      <c r="L14" s="16">
        <f t="shared" si="1"/>
        <v>371352</v>
      </c>
      <c r="M14" s="16">
        <f t="shared" si="1"/>
        <v>437482</v>
      </c>
    </row>
    <row r="16" spans="1:13" ht="18.75" x14ac:dyDescent="0.3">
      <c r="B16" s="30" t="s">
        <v>13</v>
      </c>
      <c r="C16" s="30"/>
      <c r="D16" s="30"/>
      <c r="E16" s="30"/>
      <c r="F16" s="30"/>
      <c r="G16" s="30"/>
      <c r="H16" s="30"/>
      <c r="I16" s="30"/>
      <c r="J16" s="30"/>
    </row>
    <row r="17" spans="1:13" ht="19.5" thickBot="1" x14ac:dyDescent="0.35">
      <c r="B17" s="21" t="s">
        <v>14</v>
      </c>
      <c r="C17" s="21" t="s">
        <v>15</v>
      </c>
      <c r="D17" s="21" t="s">
        <v>16</v>
      </c>
      <c r="E17" s="21" t="s">
        <v>17</v>
      </c>
      <c r="F17" s="21" t="s">
        <v>18</v>
      </c>
      <c r="G17" s="21" t="s">
        <v>19</v>
      </c>
      <c r="H17" s="21" t="s">
        <v>20</v>
      </c>
      <c r="I17" s="17" t="s">
        <v>21</v>
      </c>
      <c r="J17" s="17" t="s">
        <v>22</v>
      </c>
      <c r="K17" s="17" t="s">
        <v>23</v>
      </c>
      <c r="L17" s="17" t="s">
        <v>24</v>
      </c>
      <c r="M17" s="17" t="s">
        <v>25</v>
      </c>
    </row>
    <row r="18" spans="1:13" ht="19.5" thickBot="1" x14ac:dyDescent="0.35">
      <c r="A18" s="1" t="s">
        <v>1</v>
      </c>
      <c r="B18" s="2">
        <v>45062</v>
      </c>
      <c r="C18" s="3">
        <v>45068</v>
      </c>
      <c r="D18" s="3">
        <v>45075</v>
      </c>
      <c r="E18" s="3">
        <v>45082</v>
      </c>
      <c r="F18" s="3">
        <v>45089</v>
      </c>
      <c r="G18" s="3">
        <f t="shared" ref="G18:M18" si="2">+F18+7</f>
        <v>45096</v>
      </c>
      <c r="H18" s="3">
        <f t="shared" si="2"/>
        <v>45103</v>
      </c>
      <c r="I18" s="3">
        <f t="shared" si="2"/>
        <v>45110</v>
      </c>
      <c r="J18" s="4">
        <f t="shared" si="2"/>
        <v>45117</v>
      </c>
      <c r="K18" s="4">
        <f t="shared" si="2"/>
        <v>45124</v>
      </c>
      <c r="L18" s="4">
        <f t="shared" si="2"/>
        <v>45131</v>
      </c>
      <c r="M18" s="4">
        <f t="shared" si="2"/>
        <v>45138</v>
      </c>
    </row>
    <row r="19" spans="1:13" ht="18.75" x14ac:dyDescent="0.3">
      <c r="A19" s="5" t="s">
        <v>2</v>
      </c>
      <c r="B19" s="6">
        <v>2</v>
      </c>
      <c r="C19" s="6">
        <v>2</v>
      </c>
      <c r="D19" s="6">
        <v>18</v>
      </c>
      <c r="E19" s="6">
        <v>21</v>
      </c>
      <c r="F19" s="6">
        <v>266</v>
      </c>
      <c r="G19" s="6">
        <v>1233</v>
      </c>
      <c r="H19" s="6">
        <v>5650</v>
      </c>
      <c r="I19" s="6">
        <v>6790</v>
      </c>
      <c r="J19" s="7">
        <v>9022</v>
      </c>
      <c r="K19" s="7">
        <v>11048</v>
      </c>
      <c r="L19" s="7">
        <v>13192</v>
      </c>
      <c r="M19" s="7">
        <v>14859</v>
      </c>
    </row>
    <row r="20" spans="1:13" ht="18.75" x14ac:dyDescent="0.3">
      <c r="A20" s="18"/>
      <c r="B20" s="19"/>
      <c r="C20" s="22">
        <f>(C19-B19)/B19</f>
        <v>0</v>
      </c>
      <c r="D20" s="20">
        <f t="shared" ref="D20:M20" si="3">(D19-C19)/C19</f>
        <v>8</v>
      </c>
      <c r="E20" s="20">
        <f t="shared" si="3"/>
        <v>0.16666666666666666</v>
      </c>
      <c r="F20" s="20">
        <f t="shared" si="3"/>
        <v>11.666666666666666</v>
      </c>
      <c r="G20" s="20">
        <f t="shared" si="3"/>
        <v>3.6353383458646618</v>
      </c>
      <c r="H20" s="20">
        <f t="shared" si="3"/>
        <v>3.5823195458231956</v>
      </c>
      <c r="I20" s="20">
        <f t="shared" si="3"/>
        <v>0.20176991150442478</v>
      </c>
      <c r="J20" s="20">
        <f t="shared" si="3"/>
        <v>0.32871870397643593</v>
      </c>
      <c r="K20" s="20">
        <f t="shared" si="3"/>
        <v>0.22456218133451564</v>
      </c>
      <c r="L20" s="20">
        <f t="shared" si="3"/>
        <v>0.1940622737146995</v>
      </c>
      <c r="M20" s="20">
        <f t="shared" si="3"/>
        <v>0.12636446331109763</v>
      </c>
    </row>
    <row r="21" spans="1:13" ht="18.75" x14ac:dyDescent="0.3">
      <c r="A21" s="8" t="s">
        <v>3</v>
      </c>
      <c r="B21" s="23">
        <v>18</v>
      </c>
      <c r="C21" s="23">
        <v>18</v>
      </c>
      <c r="D21" s="23">
        <v>151</v>
      </c>
      <c r="E21" s="23">
        <v>226</v>
      </c>
      <c r="F21" s="23">
        <v>271</v>
      </c>
      <c r="G21" s="23">
        <v>276</v>
      </c>
      <c r="H21" s="23">
        <v>295</v>
      </c>
      <c r="I21" s="23">
        <v>307</v>
      </c>
      <c r="J21" s="24">
        <v>348</v>
      </c>
      <c r="K21" s="24">
        <v>397</v>
      </c>
      <c r="L21" s="24">
        <v>401</v>
      </c>
      <c r="M21" s="24">
        <v>468</v>
      </c>
    </row>
    <row r="22" spans="1:13" ht="18.75" x14ac:dyDescent="0.3">
      <c r="A22" s="8"/>
      <c r="B22" s="9"/>
      <c r="C22" s="22">
        <f t="shared" ref="C22:M22" si="4">(C21-B21)/B21</f>
        <v>0</v>
      </c>
      <c r="D22" s="20">
        <f t="shared" si="4"/>
        <v>7.3888888888888893</v>
      </c>
      <c r="E22" s="20">
        <f t="shared" si="4"/>
        <v>0.49668874172185429</v>
      </c>
      <c r="F22" s="20">
        <f t="shared" si="4"/>
        <v>0.19911504424778761</v>
      </c>
      <c r="G22" s="22">
        <f t="shared" si="4"/>
        <v>1.8450184501845018E-2</v>
      </c>
      <c r="H22" s="22">
        <f t="shared" si="4"/>
        <v>6.8840579710144928E-2</v>
      </c>
      <c r="I22" s="22">
        <f t="shared" si="4"/>
        <v>4.0677966101694912E-2</v>
      </c>
      <c r="J22" s="20">
        <f t="shared" si="4"/>
        <v>0.13355048859934854</v>
      </c>
      <c r="K22" s="20">
        <f t="shared" si="4"/>
        <v>0.14080459770114942</v>
      </c>
      <c r="L22" s="22">
        <f t="shared" si="4"/>
        <v>1.0075566750629723E-2</v>
      </c>
      <c r="M22" s="20">
        <f t="shared" si="4"/>
        <v>0.16708229426433915</v>
      </c>
    </row>
    <row r="23" spans="1:13" ht="18.75" x14ac:dyDescent="0.3">
      <c r="A23" s="8" t="s">
        <v>4</v>
      </c>
      <c r="B23" s="23">
        <v>314</v>
      </c>
      <c r="C23" s="23">
        <v>314</v>
      </c>
      <c r="D23" s="23">
        <v>314</v>
      </c>
      <c r="E23" s="23">
        <v>317</v>
      </c>
      <c r="F23" s="23">
        <v>421</v>
      </c>
      <c r="G23" s="23">
        <v>434</v>
      </c>
      <c r="H23" s="23">
        <v>463</v>
      </c>
      <c r="I23" s="23">
        <v>474</v>
      </c>
      <c r="J23" s="24">
        <v>1032</v>
      </c>
      <c r="K23" s="24">
        <v>10925</v>
      </c>
      <c r="L23" s="24">
        <v>20448</v>
      </c>
      <c r="M23" s="24">
        <v>27948</v>
      </c>
    </row>
    <row r="24" spans="1:13" ht="18.75" x14ac:dyDescent="0.3">
      <c r="A24" s="8"/>
      <c r="B24" s="9"/>
      <c r="C24" s="22">
        <f t="shared" ref="C24:M24" si="5">(C23-B23)/B23</f>
        <v>0</v>
      </c>
      <c r="D24" s="22">
        <f t="shared" si="5"/>
        <v>0</v>
      </c>
      <c r="E24" s="22">
        <f t="shared" si="5"/>
        <v>9.5541401273885346E-3</v>
      </c>
      <c r="F24" s="20">
        <f t="shared" si="5"/>
        <v>0.32807570977917982</v>
      </c>
      <c r="G24" s="22">
        <f t="shared" si="5"/>
        <v>3.0878859857482184E-2</v>
      </c>
      <c r="H24" s="22">
        <f t="shared" si="5"/>
        <v>6.6820276497695855E-2</v>
      </c>
      <c r="I24" s="22">
        <f t="shared" si="5"/>
        <v>2.3758099352051837E-2</v>
      </c>
      <c r="J24" s="20">
        <f t="shared" si="5"/>
        <v>1.1772151898734178</v>
      </c>
      <c r="K24" s="20">
        <f t="shared" si="5"/>
        <v>9.5862403100775193</v>
      </c>
      <c r="L24" s="20">
        <f t="shared" si="5"/>
        <v>0.87167048054919904</v>
      </c>
      <c r="M24" s="20">
        <f t="shared" si="5"/>
        <v>0.36678403755868544</v>
      </c>
    </row>
    <row r="25" spans="1:13" ht="18.75" x14ac:dyDescent="0.3">
      <c r="A25" s="8" t="s">
        <v>5</v>
      </c>
      <c r="B25" s="23">
        <v>5</v>
      </c>
      <c r="C25" s="23">
        <v>5</v>
      </c>
      <c r="D25" s="23">
        <v>232</v>
      </c>
      <c r="E25" s="23">
        <v>350</v>
      </c>
      <c r="F25" s="23">
        <v>1031</v>
      </c>
      <c r="G25" s="23">
        <v>1846</v>
      </c>
      <c r="H25" s="23">
        <v>3350</v>
      </c>
      <c r="I25" s="23">
        <v>4210</v>
      </c>
      <c r="J25" s="24">
        <v>5106</v>
      </c>
      <c r="K25" s="24">
        <v>5950</v>
      </c>
      <c r="L25" s="24">
        <v>6389</v>
      </c>
      <c r="M25" s="24">
        <v>8518</v>
      </c>
    </row>
    <row r="26" spans="1:13" ht="18.75" x14ac:dyDescent="0.3">
      <c r="A26" s="8"/>
      <c r="B26" s="9"/>
      <c r="C26" s="22">
        <f t="shared" ref="C26:M26" si="6">(C25-B25)/B25</f>
        <v>0</v>
      </c>
      <c r="D26" s="20">
        <f t="shared" si="6"/>
        <v>45.4</v>
      </c>
      <c r="E26" s="20">
        <f t="shared" si="6"/>
        <v>0.50862068965517238</v>
      </c>
      <c r="F26" s="20">
        <f t="shared" si="6"/>
        <v>1.9457142857142857</v>
      </c>
      <c r="G26" s="20">
        <f t="shared" si="6"/>
        <v>0.79049466537342383</v>
      </c>
      <c r="H26" s="20">
        <f t="shared" si="6"/>
        <v>0.81473456121343446</v>
      </c>
      <c r="I26" s="20">
        <f t="shared" si="6"/>
        <v>0.25671641791044775</v>
      </c>
      <c r="J26" s="20">
        <f t="shared" si="6"/>
        <v>0.21282660332541567</v>
      </c>
      <c r="K26" s="20">
        <f t="shared" si="6"/>
        <v>0.16529573051312182</v>
      </c>
      <c r="L26" s="22">
        <f t="shared" si="6"/>
        <v>7.378151260504201E-2</v>
      </c>
      <c r="M26" s="20">
        <f t="shared" si="6"/>
        <v>0.3332289873219596</v>
      </c>
    </row>
    <row r="27" spans="1:13" ht="18.75" x14ac:dyDescent="0.3">
      <c r="A27" s="8" t="s">
        <v>6</v>
      </c>
      <c r="B27" s="9">
        <v>13</v>
      </c>
      <c r="C27" s="9">
        <v>13</v>
      </c>
      <c r="D27" s="9">
        <v>16</v>
      </c>
      <c r="E27" s="9">
        <v>18</v>
      </c>
      <c r="F27" s="9">
        <v>21</v>
      </c>
      <c r="G27" s="9">
        <v>26</v>
      </c>
      <c r="H27" s="9">
        <v>283</v>
      </c>
      <c r="I27" s="9">
        <v>384</v>
      </c>
      <c r="J27" s="10">
        <v>732</v>
      </c>
      <c r="K27" s="10">
        <v>1699</v>
      </c>
      <c r="L27" s="10">
        <v>1983</v>
      </c>
      <c r="M27" s="10">
        <v>2571</v>
      </c>
    </row>
    <row r="28" spans="1:13" ht="18.75" x14ac:dyDescent="0.3">
      <c r="A28" s="8"/>
      <c r="B28" s="9"/>
      <c r="C28" s="22">
        <f t="shared" ref="C28:M28" si="7">(C27-B27)/B27</f>
        <v>0</v>
      </c>
      <c r="D28" s="20">
        <f t="shared" si="7"/>
        <v>0.23076923076923078</v>
      </c>
      <c r="E28" s="20">
        <f t="shared" si="7"/>
        <v>0.125</v>
      </c>
      <c r="F28" s="20">
        <f t="shared" si="7"/>
        <v>0.16666666666666666</v>
      </c>
      <c r="G28" s="20">
        <f t="shared" si="7"/>
        <v>0.23809523809523808</v>
      </c>
      <c r="H28" s="20">
        <f t="shared" si="7"/>
        <v>9.884615384615385</v>
      </c>
      <c r="I28" s="20">
        <f t="shared" si="7"/>
        <v>0.35689045936395758</v>
      </c>
      <c r="J28" s="20">
        <f t="shared" si="7"/>
        <v>0.90625</v>
      </c>
      <c r="K28" s="20">
        <f t="shared" si="7"/>
        <v>1.3210382513661203</v>
      </c>
      <c r="L28" s="20">
        <f t="shared" si="7"/>
        <v>0.16715715126545028</v>
      </c>
      <c r="M28" s="20">
        <f t="shared" si="7"/>
        <v>0.29652042360060515</v>
      </c>
    </row>
    <row r="29" spans="1:13" ht="18.75" x14ac:dyDescent="0.3">
      <c r="A29" s="8" t="s">
        <v>7</v>
      </c>
      <c r="B29" s="9">
        <v>15</v>
      </c>
      <c r="C29" s="9">
        <v>19</v>
      </c>
      <c r="D29" s="9">
        <v>40</v>
      </c>
      <c r="E29" s="9">
        <v>40</v>
      </c>
      <c r="F29" s="9">
        <v>55</v>
      </c>
      <c r="G29" s="9">
        <v>140</v>
      </c>
      <c r="H29" s="9">
        <v>195</v>
      </c>
      <c r="I29" s="9">
        <v>256</v>
      </c>
      <c r="J29" s="10">
        <v>306</v>
      </c>
      <c r="K29" s="10">
        <v>346</v>
      </c>
      <c r="L29" s="10">
        <v>390</v>
      </c>
      <c r="M29" s="10">
        <v>3135</v>
      </c>
    </row>
    <row r="30" spans="1:13" ht="18.75" x14ac:dyDescent="0.3">
      <c r="A30" s="8"/>
      <c r="B30" s="9"/>
      <c r="C30" s="20">
        <f t="shared" ref="C30:M30" si="8">(C29-B29)/B29</f>
        <v>0.26666666666666666</v>
      </c>
      <c r="D30" s="20">
        <f t="shared" si="8"/>
        <v>1.1052631578947369</v>
      </c>
      <c r="E30" s="22">
        <f t="shared" si="8"/>
        <v>0</v>
      </c>
      <c r="F30" s="20">
        <f t="shared" si="8"/>
        <v>0.375</v>
      </c>
      <c r="G30" s="20">
        <f t="shared" si="8"/>
        <v>1.5454545454545454</v>
      </c>
      <c r="H30" s="20">
        <f t="shared" si="8"/>
        <v>0.39285714285714285</v>
      </c>
      <c r="I30" s="20">
        <f t="shared" si="8"/>
        <v>0.31282051282051282</v>
      </c>
      <c r="J30" s="20">
        <f t="shared" si="8"/>
        <v>0.1953125</v>
      </c>
      <c r="K30" s="20">
        <f t="shared" si="8"/>
        <v>0.13071895424836602</v>
      </c>
      <c r="L30" s="20">
        <f t="shared" si="8"/>
        <v>0.12716763005780346</v>
      </c>
      <c r="M30" s="20">
        <f t="shared" si="8"/>
        <v>7.0384615384615383</v>
      </c>
    </row>
    <row r="31" spans="1:13" ht="18.75" x14ac:dyDescent="0.3">
      <c r="A31" s="8" t="s">
        <v>8</v>
      </c>
      <c r="B31" s="9">
        <v>8</v>
      </c>
      <c r="C31" s="9">
        <v>8</v>
      </c>
      <c r="D31" s="9">
        <v>81</v>
      </c>
      <c r="E31" s="9">
        <v>109</v>
      </c>
      <c r="F31" s="9">
        <v>1789</v>
      </c>
      <c r="G31" s="9">
        <v>11129</v>
      </c>
      <c r="H31" s="9">
        <v>20894</v>
      </c>
      <c r="I31" s="9">
        <v>26462</v>
      </c>
      <c r="J31" s="10">
        <v>32431</v>
      </c>
      <c r="K31" s="10">
        <v>37632</v>
      </c>
      <c r="L31" s="10">
        <v>38398</v>
      </c>
      <c r="M31" s="10">
        <v>40268</v>
      </c>
    </row>
    <row r="32" spans="1:13" ht="18.75" x14ac:dyDescent="0.3">
      <c r="A32" s="8"/>
      <c r="B32" s="9"/>
      <c r="C32" s="22">
        <f t="shared" ref="C32:M32" si="9">(C31-B31)/B31</f>
        <v>0</v>
      </c>
      <c r="D32" s="20">
        <f t="shared" si="9"/>
        <v>9.125</v>
      </c>
      <c r="E32" s="20">
        <f t="shared" si="9"/>
        <v>0.34567901234567899</v>
      </c>
      <c r="F32" s="20">
        <f t="shared" si="9"/>
        <v>15.412844036697248</v>
      </c>
      <c r="G32" s="20">
        <f t="shared" si="9"/>
        <v>5.2207937395192845</v>
      </c>
      <c r="H32" s="20">
        <f t="shared" si="9"/>
        <v>0.87743732590529244</v>
      </c>
      <c r="I32" s="20">
        <f t="shared" si="9"/>
        <v>0.26648798698190868</v>
      </c>
      <c r="J32" s="20">
        <f t="shared" si="9"/>
        <v>0.22556874008011488</v>
      </c>
      <c r="K32" s="20">
        <f t="shared" si="9"/>
        <v>0.16037124973019642</v>
      </c>
      <c r="L32" s="22">
        <f t="shared" si="9"/>
        <v>2.0355017006802721E-2</v>
      </c>
      <c r="M32" s="22">
        <f t="shared" si="9"/>
        <v>4.870045314860149E-2</v>
      </c>
    </row>
    <row r="33" spans="1:13" ht="18.75" x14ac:dyDescent="0.3">
      <c r="A33" s="8" t="s">
        <v>9</v>
      </c>
      <c r="B33" s="9">
        <v>6</v>
      </c>
      <c r="C33" s="9">
        <v>6</v>
      </c>
      <c r="D33" s="9">
        <v>9</v>
      </c>
      <c r="E33" s="9">
        <v>9</v>
      </c>
      <c r="F33" s="9">
        <v>86</v>
      </c>
      <c r="G33" s="9">
        <v>1349</v>
      </c>
      <c r="H33" s="9">
        <v>4738</v>
      </c>
      <c r="I33" s="9">
        <v>6949</v>
      </c>
      <c r="J33" s="10">
        <v>16122</v>
      </c>
      <c r="K33" s="10">
        <v>22038</v>
      </c>
      <c r="L33" s="10">
        <v>26946</v>
      </c>
      <c r="M33" s="10">
        <v>33421</v>
      </c>
    </row>
    <row r="34" spans="1:13" ht="18.75" x14ac:dyDescent="0.3">
      <c r="A34" s="8"/>
      <c r="B34" s="9"/>
      <c r="C34" s="22">
        <f t="shared" ref="C34:M34" si="10">(C33-B33)/B33</f>
        <v>0</v>
      </c>
      <c r="D34" s="20">
        <f t="shared" si="10"/>
        <v>0.5</v>
      </c>
      <c r="E34" s="22">
        <f t="shared" si="10"/>
        <v>0</v>
      </c>
      <c r="F34" s="20">
        <f t="shared" si="10"/>
        <v>8.5555555555555554</v>
      </c>
      <c r="G34" s="20">
        <f t="shared" si="10"/>
        <v>14.686046511627907</v>
      </c>
      <c r="H34" s="20">
        <f t="shared" si="10"/>
        <v>2.5122312824314306</v>
      </c>
      <c r="I34" s="20">
        <f t="shared" si="10"/>
        <v>0.46665259603208104</v>
      </c>
      <c r="J34" s="20">
        <f t="shared" si="10"/>
        <v>1.3200460497913369</v>
      </c>
      <c r="K34" s="20">
        <f t="shared" si="10"/>
        <v>0.36695199106810572</v>
      </c>
      <c r="L34" s="20">
        <f t="shared" si="10"/>
        <v>0.22270623468554315</v>
      </c>
      <c r="M34" s="20">
        <f t="shared" si="10"/>
        <v>0.24029540562606694</v>
      </c>
    </row>
    <row r="35" spans="1:13" ht="18.75" x14ac:dyDescent="0.3">
      <c r="A35" s="8" t="s">
        <v>10</v>
      </c>
      <c r="B35" s="9">
        <v>35</v>
      </c>
      <c r="C35" s="9">
        <v>35</v>
      </c>
      <c r="D35" s="9">
        <v>37</v>
      </c>
      <c r="E35" s="9">
        <v>39</v>
      </c>
      <c r="F35" s="9">
        <v>165</v>
      </c>
      <c r="G35" s="9">
        <v>733</v>
      </c>
      <c r="H35" s="9">
        <v>1060</v>
      </c>
      <c r="I35" s="9">
        <v>1561</v>
      </c>
      <c r="J35" s="10">
        <v>4277</v>
      </c>
      <c r="K35" s="10">
        <v>7492</v>
      </c>
      <c r="L35" s="10">
        <v>8416</v>
      </c>
      <c r="M35" s="10">
        <v>10377</v>
      </c>
    </row>
    <row r="36" spans="1:13" ht="18.75" x14ac:dyDescent="0.3">
      <c r="A36" s="25"/>
      <c r="B36" s="26"/>
      <c r="C36" s="22">
        <f t="shared" ref="C36:M36" si="11">(C35-B35)/B35</f>
        <v>0</v>
      </c>
      <c r="D36" s="22">
        <f t="shared" si="11"/>
        <v>5.7142857142857141E-2</v>
      </c>
      <c r="E36" s="22">
        <f t="shared" si="11"/>
        <v>5.4054054054054057E-2</v>
      </c>
      <c r="F36" s="20">
        <f t="shared" si="11"/>
        <v>3.2307692307692308</v>
      </c>
      <c r="G36" s="20">
        <f t="shared" si="11"/>
        <v>3.4424242424242424</v>
      </c>
      <c r="H36" s="20">
        <f t="shared" si="11"/>
        <v>0.44611186903137789</v>
      </c>
      <c r="I36" s="20">
        <f t="shared" si="11"/>
        <v>0.47264150943396227</v>
      </c>
      <c r="J36" s="20">
        <f t="shared" si="11"/>
        <v>1.7399103139013452</v>
      </c>
      <c r="K36" s="20">
        <f t="shared" si="11"/>
        <v>0.75169511339724104</v>
      </c>
      <c r="L36" s="20">
        <f t="shared" si="11"/>
        <v>0.12333155365723439</v>
      </c>
      <c r="M36" s="20">
        <f t="shared" si="11"/>
        <v>0.23300855513307986</v>
      </c>
    </row>
    <row r="37" spans="1:13" ht="19.5" thickBot="1" x14ac:dyDescent="0.35">
      <c r="A37" s="11" t="s">
        <v>11</v>
      </c>
      <c r="B37" s="12">
        <v>2</v>
      </c>
      <c r="C37" s="12">
        <v>2</v>
      </c>
      <c r="D37" s="12">
        <v>9</v>
      </c>
      <c r="E37" s="12">
        <v>43</v>
      </c>
      <c r="F37" s="12">
        <v>57</v>
      </c>
      <c r="G37" s="12">
        <v>82</v>
      </c>
      <c r="H37" s="12">
        <v>119</v>
      </c>
      <c r="I37" s="12">
        <v>134</v>
      </c>
      <c r="J37" s="13">
        <v>318</v>
      </c>
      <c r="K37" s="13">
        <v>899</v>
      </c>
      <c r="L37" s="13">
        <v>2200</v>
      </c>
      <c r="M37" s="13">
        <v>5086</v>
      </c>
    </row>
    <row r="38" spans="1:13" ht="19.5" thickBot="1" x14ac:dyDescent="0.35">
      <c r="A38" s="27"/>
      <c r="B38" s="28"/>
      <c r="C38" s="22">
        <f t="shared" ref="C38:M38" si="12">(C37-B37)/B37</f>
        <v>0</v>
      </c>
      <c r="D38" s="20">
        <f t="shared" si="12"/>
        <v>3.5</v>
      </c>
      <c r="E38" s="20">
        <f t="shared" si="12"/>
        <v>3.7777777777777777</v>
      </c>
      <c r="F38" s="20">
        <f t="shared" si="12"/>
        <v>0.32558139534883723</v>
      </c>
      <c r="G38" s="20">
        <f t="shared" si="12"/>
        <v>0.43859649122807015</v>
      </c>
      <c r="H38" s="20">
        <f t="shared" si="12"/>
        <v>0.45121951219512196</v>
      </c>
      <c r="I38" s="20">
        <f t="shared" si="12"/>
        <v>0.12605042016806722</v>
      </c>
      <c r="J38" s="20">
        <f t="shared" si="12"/>
        <v>1.3731343283582089</v>
      </c>
      <c r="K38" s="20">
        <f t="shared" si="12"/>
        <v>1.8270440251572326</v>
      </c>
      <c r="L38" s="20">
        <f t="shared" si="12"/>
        <v>1.4471635150166853</v>
      </c>
      <c r="M38" s="20">
        <f t="shared" si="12"/>
        <v>1.3118181818181818</v>
      </c>
    </row>
    <row r="39" spans="1:13" ht="19.5" thickBot="1" x14ac:dyDescent="0.35">
      <c r="A39" s="14" t="s">
        <v>12</v>
      </c>
      <c r="B39" s="15">
        <f>SUM(B19:B37)</f>
        <v>418</v>
      </c>
      <c r="C39" s="15">
        <f t="shared" ref="C39:K39" si="13">SUM(C19:C37)</f>
        <v>422.26666666666665</v>
      </c>
      <c r="D39" s="15">
        <f t="shared" si="13"/>
        <v>978.80706413469568</v>
      </c>
      <c r="E39" s="15">
        <f t="shared" si="13"/>
        <v>1173.7062633045707</v>
      </c>
      <c r="F39" s="15">
        <f t="shared" si="13"/>
        <v>4203.8804071960967</v>
      </c>
      <c r="G39" s="15">
        <f t="shared" si="13"/>
        <v>17277.607976332722</v>
      </c>
      <c r="H39" s="15">
        <f t="shared" si="13"/>
        <v>37065.645967968085</v>
      </c>
      <c r="I39" s="15">
        <f t="shared" si="13"/>
        <v>47529.398415459509</v>
      </c>
      <c r="J39" s="16">
        <f t="shared" si="13"/>
        <v>69700.239398589547</v>
      </c>
      <c r="K39" s="16">
        <f t="shared" si="13"/>
        <v>98438.847678379432</v>
      </c>
      <c r="L39" s="16">
        <f>SUM(L19:L37)</f>
        <v>118764.81030742028</v>
      </c>
      <c r="M39" s="16">
        <f>SUM(M19:M37)</f>
        <v>146659.85044615844</v>
      </c>
    </row>
  </sheetData>
  <mergeCells count="2">
    <mergeCell ref="B2:J2"/>
    <mergeCell ref="B16:J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dairou njankouo</cp:lastModifiedBy>
  <dcterms:created xsi:type="dcterms:W3CDTF">2023-08-01T12:19:55Z</dcterms:created>
  <dcterms:modified xsi:type="dcterms:W3CDTF">2023-08-01T18:35:04Z</dcterms:modified>
</cp:coreProperties>
</file>