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PACT TECH\Desktop\"/>
    </mc:Choice>
  </mc:AlternateContent>
  <bookViews>
    <workbookView minimized="1" xWindow="-120" yWindow="-120" windowWidth="20730" windowHeight="11160"/>
  </bookViews>
  <sheets>
    <sheet name="Codes Alpha" sheetId="1" r:id="rId1"/>
    <sheet name="Codes Num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6" i="2" l="1"/>
  <c r="K24" i="2"/>
  <c r="J24" i="2"/>
  <c r="C81" i="1" l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6" i="2"/>
  <c r="C7" i="2" s="1"/>
  <c r="C8" i="2" s="1"/>
  <c r="C12" i="2" s="1"/>
  <c r="C16" i="2" s="1"/>
  <c r="C18" i="2" s="1"/>
  <c r="C19" i="2" s="1"/>
  <c r="C20" i="2" s="1"/>
  <c r="C21" i="2" s="1"/>
  <c r="C22" i="2" s="1"/>
  <c r="C23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9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5" i="2" s="1"/>
  <c r="C96" i="2" s="1"/>
  <c r="C97" i="2" l="1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</calcChain>
</file>

<file path=xl/sharedStrings.xml><?xml version="1.0" encoding="utf-8"?>
<sst xmlns="http://schemas.openxmlformats.org/spreadsheetml/2006/main" count="229" uniqueCount="139">
  <si>
    <t>N°</t>
  </si>
  <si>
    <t>NATURE ECONOMIQUE</t>
  </si>
  <si>
    <t>CODE</t>
  </si>
  <si>
    <t>Abonnement à diverses publications</t>
  </si>
  <si>
    <t>Accidents de travail et maladies professionnelles</t>
  </si>
  <si>
    <t>Alimentation et rafraichissements</t>
  </si>
  <si>
    <t>Aménagement et extension des réseaux internes…</t>
  </si>
  <si>
    <t>Approvisionnement  en pagne NASLA</t>
  </si>
  <si>
    <t>Assurance automobile</t>
  </si>
  <si>
    <t>Assurance des apprenants / Trainee’s insurance</t>
  </si>
  <si>
    <t>Assurance des bâtiments</t>
  </si>
  <si>
    <t>Assurance maladies / Health insurance</t>
  </si>
  <si>
    <t>Autres charges diverses</t>
  </si>
  <si>
    <t>Autres équipements</t>
  </si>
  <si>
    <t>Autres frais de transport (fret et bagages)</t>
  </si>
  <si>
    <t>Autres frais de transport du personnel</t>
  </si>
  <si>
    <t>Autres produits et petits matériels</t>
  </si>
  <si>
    <t xml:space="preserve">Autres services consommés </t>
  </si>
  <si>
    <t xml:space="preserve">Carburant et lubrifiants </t>
  </si>
  <si>
    <t>Congé annuel DG/DGA/Annual leave DG/DGA</t>
  </si>
  <si>
    <t>Construction des immeubles abritant les services</t>
  </si>
  <si>
    <t>Cotisations à la CNPS (contributions patronales)</t>
  </si>
  <si>
    <t>Cotisations à l'Etat (Fonctionnaires en détachement)</t>
  </si>
  <si>
    <t xml:space="preserve">Eau </t>
  </si>
  <si>
    <t xml:space="preserve">Electricité </t>
  </si>
  <si>
    <t>Entretien  des terrains et espaces verts</t>
  </si>
  <si>
    <t>Entretien de matériel de transport</t>
  </si>
  <si>
    <t>Entretien de matériel informatique</t>
  </si>
  <si>
    <t>Entretien des autres matériel et moblier</t>
  </si>
  <si>
    <t>Entretien des constructions</t>
  </si>
  <si>
    <t>Equipement  (l’amphithéâtre du gymnase)</t>
  </si>
  <si>
    <t>Etudes prospectives et stratégiques</t>
  </si>
  <si>
    <t>Etudes techniques</t>
  </si>
  <si>
    <t>Fêtes et cérémonies</t>
  </si>
  <si>
    <t>Fournitures de bureau</t>
  </si>
  <si>
    <t>Fournitures et accessoires informatiques</t>
  </si>
  <si>
    <t>Frais  de suivi et d'encadrement   des memoires/rapports de fin de formation</t>
  </si>
  <si>
    <t xml:space="preserve">Frais d′hébergement </t>
  </si>
  <si>
    <t>Frais de colloques et de séminaires</t>
  </si>
  <si>
    <t xml:space="preserve">Frais de congé annuel du personnel </t>
  </si>
  <si>
    <t>Frais de location de véhicules</t>
  </si>
  <si>
    <t>Frais de mission</t>
  </si>
  <si>
    <t>Frais de mission - étranger</t>
  </si>
  <si>
    <t>Frais de participation</t>
  </si>
  <si>
    <t>Frais de poste et télécommunication/ internet</t>
  </si>
  <si>
    <t>Frais de préparation et d'prganisation de soutenance des memoires/rapports de fin de formation</t>
  </si>
  <si>
    <t>Frais de session de la commision/sous-commission de passation des marché</t>
  </si>
  <si>
    <t>Frais de stage  et de formation</t>
  </si>
  <si>
    <t>Frais de stage de vacance/Holiday job expenses</t>
  </si>
  <si>
    <t>Frais de tenue des ateliers de travail</t>
  </si>
  <si>
    <t>Frais de tenue du conseil d'administration</t>
  </si>
  <si>
    <t>Frais de tenues de compte (Services bancaires consommés)</t>
  </si>
  <si>
    <t>Frais d'expertise et d'assistance technique</t>
  </si>
  <si>
    <t>Frais funéraires / Burial expenses</t>
  </si>
  <si>
    <t xml:space="preserve">Frais payés en exécution des condamnations judiciaires </t>
  </si>
  <si>
    <t xml:space="preserve">Frais pour signature des accords et conventions </t>
  </si>
  <si>
    <t>Gardienage de nuit/Night watch DG/DGA/PCA</t>
  </si>
  <si>
    <t>Gratifications annuelles aux personnels</t>
  </si>
  <si>
    <t>Gratifications et remises diverses</t>
  </si>
  <si>
    <t>Heures supplémentaires (personnels des cabinets)</t>
  </si>
  <si>
    <t>Honoraires des enseignants</t>
  </si>
  <si>
    <t xml:space="preserve">Honoraires versés </t>
  </si>
  <si>
    <t>Impression des documents</t>
  </si>
  <si>
    <t>Indemnités de l'ordonnateur</t>
  </si>
  <si>
    <t>Indemnités des membres des commisions de réception  des marchés publiques</t>
  </si>
  <si>
    <t>Indemnités des membres des commissions et sous-commissions</t>
  </si>
  <si>
    <t>Indemnités des membres du conseil d'administration</t>
  </si>
  <si>
    <t>Indemnités pour travaux spéciaux</t>
  </si>
  <si>
    <t>Loyers et charges locatives</t>
  </si>
  <si>
    <t xml:space="preserve">Maîtrise d'œuvre </t>
  </si>
  <si>
    <t xml:space="preserve">Matériel audio-visuel </t>
  </si>
  <si>
    <t>Matériel de transport</t>
  </si>
  <si>
    <t xml:space="preserve">Matériel d'entretien des espaces verts </t>
  </si>
  <si>
    <t>Matériel des services techniques et scientifiques</t>
  </si>
  <si>
    <t>Matériel des soins et de laboratoire / Medical and laboratory equipment</t>
  </si>
  <si>
    <t xml:space="preserve">Matériel et mobilier de bibliothèque </t>
  </si>
  <si>
    <t>Matériel et mobilier de bureau</t>
  </si>
  <si>
    <t>Matériel et mobilier des salles de cours</t>
  </si>
  <si>
    <t>Materiel et moblier de bibliotheque </t>
  </si>
  <si>
    <t>Matériel informatique</t>
  </si>
  <si>
    <t>Organisation et tenue des concours</t>
  </si>
  <si>
    <t>Organisation et tenue des examens</t>
  </si>
  <si>
    <t>Participations aux organismes nationaux et internationaux</t>
  </si>
  <si>
    <t>Pénalités issues des taxes</t>
  </si>
  <si>
    <t>Petit matériel de nettoyage</t>
  </si>
  <si>
    <t xml:space="preserve">Petit matériel d'entretien </t>
  </si>
  <si>
    <t>Petits matériels didactiques / Didactic materials</t>
  </si>
  <si>
    <t>Préparation et organisation du conseil d'administration</t>
  </si>
  <si>
    <t>Prime de bonne séparation</t>
  </si>
  <si>
    <t>Prime de résultat/ Performance allowance DG/DGA</t>
  </si>
  <si>
    <t xml:space="preserve">Prise en charge maladie et évacuation DG/ DGA </t>
  </si>
  <si>
    <t>Produits de nettoyage, lessive, vaiselle</t>
  </si>
  <si>
    <t>Produits et petits matériels techniques</t>
  </si>
  <si>
    <t>Produits médicaux consommés</t>
  </si>
  <si>
    <t>Produits pharmaceutiques consommés / Pharmaceutical products</t>
  </si>
  <si>
    <t>Quvrages de bibliotheque</t>
  </si>
  <si>
    <t>Réhabilitation des bâtiments </t>
  </si>
  <si>
    <t>Salaires bruts de bases et indemnités connexes</t>
  </si>
  <si>
    <t>Subvention à la mutuelle du personnel de la NASLA / Subsidy to the staff mutual of NASLA</t>
  </si>
  <si>
    <t>Transport du personnel</t>
  </si>
  <si>
    <t>Transport pour cause de décès / Transportation of corps</t>
  </si>
  <si>
    <t>Transport pour déplacement définitif (retraite…)</t>
  </si>
  <si>
    <t>CODIFICATION EPA NASLA</t>
  </si>
  <si>
    <t>Frais de préparation et d'organisation de soutenance des memoires/rapports de fin de formation</t>
  </si>
  <si>
    <t>Indemnités des membres des commisions de réception et de recette technique</t>
  </si>
  <si>
    <t xml:space="preserve">Autres assurances </t>
  </si>
  <si>
    <t>Frais d’activités sportives interne</t>
  </si>
  <si>
    <t>Frais de tenue de compte (Services bancaires consommés)</t>
  </si>
  <si>
    <t>Frais de préparation  du conseil d'administration</t>
  </si>
  <si>
    <t>Ouvrages de bibliotheque</t>
  </si>
  <si>
    <t>Frais de la PMS</t>
  </si>
  <si>
    <t>Honoraires des conférenciers</t>
  </si>
  <si>
    <t>Réalisation des travaux de recherche</t>
  </si>
  <si>
    <t>Elaboration/Actualisation des référentiels métiers</t>
  </si>
  <si>
    <t>Elaboration/Actualisation des référentiels support</t>
  </si>
  <si>
    <t>Matériel et mobilier de cuisine et de restaurant</t>
  </si>
  <si>
    <t>Droits de régulation des marchés publics et lettres commandes</t>
  </si>
  <si>
    <t>Frais funéraires</t>
  </si>
  <si>
    <t xml:space="preserve">Assurance des apprenants </t>
  </si>
  <si>
    <t>Assurance maladies</t>
  </si>
  <si>
    <t>Frais  de suivi et d'encadrement  des memoires/rapports de fin de formation</t>
  </si>
  <si>
    <t>Frais de stage de vacance</t>
  </si>
  <si>
    <t>Subvention à la mutuelle du personnel de la NASLA</t>
  </si>
  <si>
    <t>Congé annuel DG/DGA</t>
  </si>
  <si>
    <t>Transport pour cause de décès</t>
  </si>
  <si>
    <t xml:space="preserve">Produits pharmaceutiques consommés </t>
  </si>
  <si>
    <t xml:space="preserve">Petits matériels de sport </t>
  </si>
  <si>
    <t xml:space="preserve">Petits matériels didactiques </t>
  </si>
  <si>
    <t>Matériel des soins et de laboratoire</t>
  </si>
  <si>
    <t>DENO et autres arriérés payés</t>
  </si>
  <si>
    <t>Construction des immeubles abritant des logements</t>
  </si>
  <si>
    <t>Construction d'un réseau interne</t>
  </si>
  <si>
    <t>Construction de voiries</t>
  </si>
  <si>
    <t xml:space="preserve">Aménagements  extérieurs </t>
  </si>
  <si>
    <t>Encaisse minimale de trésorerie</t>
  </si>
  <si>
    <t xml:space="preserve">Produits issus des études de dossier pour la sélection des candidats des pays étrangers à la  formation initiale </t>
  </si>
  <si>
    <t>Produits issus de la location du matériel roulant de la NASLA</t>
  </si>
  <si>
    <t xml:space="preserve">produits issus de le Location des toges </t>
  </si>
  <si>
    <t>Frais de suivi des stages des apprenants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</si>
</sst>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  <font>
      <sz val="10"/>
      <color theme="8" tint="-0.249977111117893"/>
      <name val="Arial"/>
      <family val="2"/>
    </font>
    <font>
      <sz val="11"/>
      <color theme="8" tint="-0.249977111117893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sz val="10"/>
      <color rgb="FF00B0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0" fillId="4" borderId="0" xfId="0" applyFill="1"/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0" borderId="1" xfId="0" applyBorder="1"/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E166"/>
  <sheetViews>
    <sheetView tabSelected="1" workbookViewId="0">
      <pane ySplit="4" topLeftCell="A70" activePane="bottomLeft" state="frozen"/>
      <selection pane="bottomLeft" activeCell="E4" sqref="E4"/>
    </sheetView>
  </sheetViews>
  <sheetFormatPr baseColWidth="10" defaultColWidth="9.140625" defaultRowHeight="15" x14ac:dyDescent="0.25"/>
  <cols>
    <col min="3" max="3" width="7.5703125" customWidth="1"/>
    <col min="4" max="4" width="56.7109375" customWidth="1"/>
    <col min="5" max="5" width="15.5703125" customWidth="1"/>
  </cols>
  <sheetData>
    <row r="2" spans="3:5" ht="20.25" x14ac:dyDescent="0.3">
      <c r="D2" s="11" t="s">
        <v>102</v>
      </c>
    </row>
    <row r="4" spans="3:5" x14ac:dyDescent="0.25">
      <c r="C4" s="12" t="s">
        <v>0</v>
      </c>
      <c r="D4" s="1" t="s">
        <v>1</v>
      </c>
      <c r="E4" s="1" t="s">
        <v>2</v>
      </c>
    </row>
    <row r="5" spans="3:5" x14ac:dyDescent="0.25">
      <c r="C5" s="8">
        <v>1</v>
      </c>
      <c r="D5" s="2" t="s">
        <v>3</v>
      </c>
      <c r="E5" s="3">
        <v>610040</v>
      </c>
    </row>
    <row r="6" spans="3:5" x14ac:dyDescent="0.25">
      <c r="C6" s="8">
        <v>2</v>
      </c>
      <c r="D6" s="4" t="s">
        <v>4</v>
      </c>
      <c r="E6" s="5">
        <v>620401</v>
      </c>
    </row>
    <row r="7" spans="3:5" x14ac:dyDescent="0.25">
      <c r="C7" s="8">
        <v>3</v>
      </c>
      <c r="D7" s="4" t="s">
        <v>5</v>
      </c>
      <c r="E7" s="5">
        <v>612091</v>
      </c>
    </row>
    <row r="8" spans="3:5" x14ac:dyDescent="0.25">
      <c r="C8" s="8">
        <v>4</v>
      </c>
      <c r="D8" s="4" t="s">
        <v>6</v>
      </c>
      <c r="E8" s="5">
        <v>221102</v>
      </c>
    </row>
    <row r="9" spans="3:5" x14ac:dyDescent="0.25">
      <c r="C9" s="8">
        <v>5</v>
      </c>
      <c r="D9" s="4" t="s">
        <v>7</v>
      </c>
      <c r="E9" s="5">
        <v>670119</v>
      </c>
    </row>
    <row r="10" spans="3:5" x14ac:dyDescent="0.25">
      <c r="C10" s="8">
        <v>6</v>
      </c>
      <c r="D10" s="4" t="s">
        <v>8</v>
      </c>
      <c r="E10" s="5">
        <v>670402</v>
      </c>
    </row>
    <row r="11" spans="3:5" x14ac:dyDescent="0.25">
      <c r="C11" s="8">
        <v>7</v>
      </c>
      <c r="D11" s="4" t="s">
        <v>9</v>
      </c>
      <c r="E11" s="5">
        <v>670403</v>
      </c>
    </row>
    <row r="12" spans="3:5" x14ac:dyDescent="0.25">
      <c r="C12" s="8">
        <v>8</v>
      </c>
      <c r="D12" s="4" t="s">
        <v>10</v>
      </c>
      <c r="E12" s="5">
        <v>670404</v>
      </c>
    </row>
    <row r="13" spans="3:5" x14ac:dyDescent="0.25">
      <c r="C13" s="8">
        <v>9</v>
      </c>
      <c r="D13" s="4" t="s">
        <v>11</v>
      </c>
      <c r="E13" s="5">
        <v>670401</v>
      </c>
    </row>
    <row r="14" spans="3:5" x14ac:dyDescent="0.25">
      <c r="C14" s="8">
        <v>10</v>
      </c>
      <c r="D14" s="4" t="s">
        <v>12</v>
      </c>
      <c r="E14" s="5">
        <v>670110</v>
      </c>
    </row>
    <row r="15" spans="3:5" x14ac:dyDescent="0.25">
      <c r="C15" s="8">
        <v>11</v>
      </c>
      <c r="D15" s="4" t="s">
        <v>13</v>
      </c>
      <c r="E15" s="5">
        <v>222804</v>
      </c>
    </row>
    <row r="16" spans="3:5" x14ac:dyDescent="0.25">
      <c r="C16" s="8">
        <v>12</v>
      </c>
      <c r="D16" s="4" t="s">
        <v>14</v>
      </c>
      <c r="E16" s="5">
        <v>611400</v>
      </c>
    </row>
    <row r="17" spans="3:5" x14ac:dyDescent="0.25">
      <c r="C17" s="8">
        <v>13</v>
      </c>
      <c r="D17" s="4" t="s">
        <v>15</v>
      </c>
      <c r="E17" s="5">
        <v>611101</v>
      </c>
    </row>
    <row r="18" spans="3:5" x14ac:dyDescent="0.25">
      <c r="C18" s="8">
        <v>14</v>
      </c>
      <c r="D18" s="4" t="s">
        <v>16</v>
      </c>
      <c r="E18" s="5">
        <v>610120</v>
      </c>
    </row>
    <row r="19" spans="3:5" x14ac:dyDescent="0.25">
      <c r="C19" s="8">
        <v>15</v>
      </c>
      <c r="D19" s="6" t="s">
        <v>17</v>
      </c>
      <c r="E19" s="7">
        <v>612000</v>
      </c>
    </row>
    <row r="20" spans="3:5" x14ac:dyDescent="0.25">
      <c r="C20" s="8">
        <v>16</v>
      </c>
      <c r="D20" s="4" t="s">
        <v>18</v>
      </c>
      <c r="E20" s="5">
        <v>610220</v>
      </c>
    </row>
    <row r="21" spans="3:5" x14ac:dyDescent="0.25">
      <c r="C21" s="8">
        <v>17</v>
      </c>
      <c r="D21" s="4" t="s">
        <v>19</v>
      </c>
      <c r="E21" s="5">
        <v>620909</v>
      </c>
    </row>
    <row r="22" spans="3:5" x14ac:dyDescent="0.25">
      <c r="C22" s="8">
        <v>18</v>
      </c>
      <c r="D22" s="4" t="s">
        <v>20</v>
      </c>
      <c r="E22" s="7">
        <v>220100</v>
      </c>
    </row>
    <row r="23" spans="3:5" x14ac:dyDescent="0.25">
      <c r="C23" s="8">
        <v>19</v>
      </c>
      <c r="D23" s="4" t="s">
        <v>21</v>
      </c>
      <c r="E23" s="5">
        <v>620400</v>
      </c>
    </row>
    <row r="24" spans="3:5" x14ac:dyDescent="0.25">
      <c r="C24" s="8">
        <v>20</v>
      </c>
      <c r="D24" s="4" t="s">
        <v>22</v>
      </c>
      <c r="E24" s="5">
        <v>620500</v>
      </c>
    </row>
    <row r="25" spans="3:5" x14ac:dyDescent="0.25">
      <c r="C25" s="8">
        <v>21</v>
      </c>
      <c r="D25" s="6" t="s">
        <v>23</v>
      </c>
      <c r="E25" s="5">
        <v>610210</v>
      </c>
    </row>
    <row r="26" spans="3:5" x14ac:dyDescent="0.25">
      <c r="C26" s="8">
        <v>22</v>
      </c>
      <c r="D26" s="6" t="s">
        <v>24</v>
      </c>
      <c r="E26" s="5">
        <v>610200</v>
      </c>
    </row>
    <row r="27" spans="3:5" x14ac:dyDescent="0.25">
      <c r="C27" s="8">
        <v>23</v>
      </c>
      <c r="D27" s="4" t="s">
        <v>25</v>
      </c>
      <c r="E27" s="5">
        <v>612110</v>
      </c>
    </row>
    <row r="28" spans="3:5" x14ac:dyDescent="0.25">
      <c r="C28" s="8">
        <v>24</v>
      </c>
      <c r="D28" s="4" t="s">
        <v>26</v>
      </c>
      <c r="E28" s="5">
        <v>612130</v>
      </c>
    </row>
    <row r="29" spans="3:5" x14ac:dyDescent="0.25">
      <c r="C29" s="8">
        <v>25</v>
      </c>
      <c r="D29" s="4" t="s">
        <v>27</v>
      </c>
      <c r="E29" s="5">
        <v>612141</v>
      </c>
    </row>
    <row r="30" spans="3:5" x14ac:dyDescent="0.25">
      <c r="C30" s="8">
        <v>26</v>
      </c>
      <c r="D30" s="4" t="s">
        <v>28</v>
      </c>
      <c r="E30" s="5">
        <v>612140</v>
      </c>
    </row>
    <row r="31" spans="3:5" x14ac:dyDescent="0.25">
      <c r="C31" s="8">
        <v>27</v>
      </c>
      <c r="D31" s="4" t="s">
        <v>29</v>
      </c>
      <c r="E31" s="5">
        <v>612120</v>
      </c>
    </row>
    <row r="32" spans="3:5" x14ac:dyDescent="0.25">
      <c r="C32" s="8">
        <v>28</v>
      </c>
      <c r="D32" s="6" t="s">
        <v>30</v>
      </c>
      <c r="E32" s="7">
        <v>222804</v>
      </c>
    </row>
    <row r="33" spans="3:5" x14ac:dyDescent="0.25">
      <c r="C33" s="8">
        <v>29</v>
      </c>
      <c r="D33" s="6" t="s">
        <v>31</v>
      </c>
      <c r="E33" s="7">
        <v>201101</v>
      </c>
    </row>
    <row r="34" spans="3:5" x14ac:dyDescent="0.25">
      <c r="C34" s="8">
        <v>30</v>
      </c>
      <c r="D34" s="6" t="s">
        <v>32</v>
      </c>
      <c r="E34" s="7">
        <v>201100</v>
      </c>
    </row>
    <row r="35" spans="3:5" x14ac:dyDescent="0.25">
      <c r="C35" s="8">
        <v>31</v>
      </c>
      <c r="D35" s="4" t="s">
        <v>33</v>
      </c>
      <c r="E35" s="5">
        <v>612090</v>
      </c>
    </row>
    <row r="36" spans="3:5" x14ac:dyDescent="0.25">
      <c r="C36" s="8">
        <v>32</v>
      </c>
      <c r="D36" s="4" t="s">
        <v>34</v>
      </c>
      <c r="E36" s="5">
        <v>610010</v>
      </c>
    </row>
    <row r="37" spans="3:5" x14ac:dyDescent="0.25">
      <c r="C37" s="8">
        <v>33</v>
      </c>
      <c r="D37" s="4" t="s">
        <v>35</v>
      </c>
      <c r="E37" s="5">
        <v>610012</v>
      </c>
    </row>
    <row r="38" spans="3:5" ht="25.5" x14ac:dyDescent="0.25">
      <c r="C38" s="8">
        <v>34</v>
      </c>
      <c r="D38" s="4" t="s">
        <v>36</v>
      </c>
      <c r="E38" s="5">
        <v>670114</v>
      </c>
    </row>
    <row r="39" spans="3:5" ht="19.5" customHeight="1" x14ac:dyDescent="0.25">
      <c r="C39" s="8">
        <v>35</v>
      </c>
      <c r="D39" s="4" t="s">
        <v>106</v>
      </c>
      <c r="E39" s="5">
        <v>670100</v>
      </c>
    </row>
    <row r="40" spans="3:5" x14ac:dyDescent="0.25">
      <c r="C40" s="8">
        <v>36</v>
      </c>
      <c r="D40" s="4" t="s">
        <v>37</v>
      </c>
      <c r="E40" s="5">
        <v>612042</v>
      </c>
    </row>
    <row r="41" spans="3:5" x14ac:dyDescent="0.25">
      <c r="C41" s="8">
        <v>37</v>
      </c>
      <c r="D41" s="4" t="s">
        <v>38</v>
      </c>
      <c r="E41" s="5">
        <v>670500</v>
      </c>
    </row>
    <row r="42" spans="3:5" x14ac:dyDescent="0.25">
      <c r="C42" s="8">
        <v>38</v>
      </c>
      <c r="D42" s="4" t="s">
        <v>39</v>
      </c>
      <c r="E42" s="5">
        <v>620912</v>
      </c>
    </row>
    <row r="43" spans="3:5" x14ac:dyDescent="0.25">
      <c r="C43" s="8">
        <v>39</v>
      </c>
      <c r="D43" s="4" t="s">
        <v>40</v>
      </c>
      <c r="E43" s="5">
        <v>612030</v>
      </c>
    </row>
    <row r="44" spans="3:5" x14ac:dyDescent="0.25">
      <c r="C44" s="8">
        <v>40</v>
      </c>
      <c r="D44" s="4" t="s">
        <v>41</v>
      </c>
      <c r="E44" s="5">
        <v>612020</v>
      </c>
    </row>
    <row r="45" spans="3:5" x14ac:dyDescent="0.25">
      <c r="C45" s="8">
        <v>41</v>
      </c>
      <c r="D45" s="4" t="s">
        <v>42</v>
      </c>
      <c r="E45" s="5">
        <v>612021</v>
      </c>
    </row>
    <row r="46" spans="3:5" x14ac:dyDescent="0.25">
      <c r="C46" s="8">
        <v>42</v>
      </c>
      <c r="D46" s="4" t="s">
        <v>43</v>
      </c>
      <c r="E46" s="5">
        <v>660001</v>
      </c>
    </row>
    <row r="47" spans="3:5" x14ac:dyDescent="0.25">
      <c r="C47" s="8">
        <v>43</v>
      </c>
      <c r="D47" s="4" t="s">
        <v>44</v>
      </c>
      <c r="E47" s="5">
        <v>612000</v>
      </c>
    </row>
    <row r="48" spans="3:5" ht="25.5" x14ac:dyDescent="0.25">
      <c r="C48" s="8">
        <v>44</v>
      </c>
      <c r="D48" s="4" t="s">
        <v>103</v>
      </c>
      <c r="E48" s="5">
        <v>670115</v>
      </c>
    </row>
    <row r="49" spans="3:5" ht="25.5" x14ac:dyDescent="0.25">
      <c r="C49" s="8">
        <v>45</v>
      </c>
      <c r="D49" s="4" t="s">
        <v>46</v>
      </c>
      <c r="E49" s="5">
        <v>670301</v>
      </c>
    </row>
    <row r="50" spans="3:5" x14ac:dyDescent="0.25">
      <c r="C50" s="8">
        <v>46</v>
      </c>
      <c r="D50" s="10" t="s">
        <v>47</v>
      </c>
      <c r="E50" s="8">
        <v>620600</v>
      </c>
    </row>
    <row r="51" spans="3:5" x14ac:dyDescent="0.25">
      <c r="C51" s="8">
        <v>47</v>
      </c>
      <c r="D51" s="4" t="s">
        <v>48</v>
      </c>
      <c r="E51" s="5">
        <v>670116</v>
      </c>
    </row>
    <row r="52" spans="3:5" x14ac:dyDescent="0.25">
      <c r="C52" s="8">
        <v>48</v>
      </c>
      <c r="D52" s="4" t="s">
        <v>49</v>
      </c>
      <c r="E52" s="5">
        <v>670051</v>
      </c>
    </row>
    <row r="53" spans="3:5" x14ac:dyDescent="0.25">
      <c r="C53" s="8">
        <v>49</v>
      </c>
      <c r="D53" s="4" t="s">
        <v>50</v>
      </c>
      <c r="E53" s="5">
        <v>670101</v>
      </c>
    </row>
    <row r="54" spans="3:5" x14ac:dyDescent="0.25">
      <c r="C54" s="8">
        <v>50</v>
      </c>
      <c r="D54" s="4" t="s">
        <v>107</v>
      </c>
      <c r="E54" s="5">
        <v>612010</v>
      </c>
    </row>
    <row r="55" spans="3:5" x14ac:dyDescent="0.25">
      <c r="C55" s="8">
        <v>51</v>
      </c>
      <c r="D55" s="4" t="s">
        <v>52</v>
      </c>
      <c r="E55" s="5">
        <v>612052</v>
      </c>
    </row>
    <row r="56" spans="3:5" x14ac:dyDescent="0.25">
      <c r="C56" s="8">
        <v>52</v>
      </c>
      <c r="D56" s="4" t="s">
        <v>53</v>
      </c>
      <c r="E56" s="5">
        <v>670700</v>
      </c>
    </row>
    <row r="57" spans="3:5" x14ac:dyDescent="0.25">
      <c r="C57" s="8">
        <v>53</v>
      </c>
      <c r="D57" s="4" t="s">
        <v>54</v>
      </c>
      <c r="E57" s="5">
        <v>671500</v>
      </c>
    </row>
    <row r="58" spans="3:5" x14ac:dyDescent="0.25">
      <c r="C58" s="8">
        <v>54</v>
      </c>
      <c r="D58" s="4" t="s">
        <v>55</v>
      </c>
      <c r="E58" s="5">
        <v>670118</v>
      </c>
    </row>
    <row r="59" spans="3:5" x14ac:dyDescent="0.25">
      <c r="C59" s="8">
        <v>55</v>
      </c>
      <c r="D59" s="4" t="s">
        <v>56</v>
      </c>
      <c r="E59" s="5">
        <v>670117</v>
      </c>
    </row>
    <row r="60" spans="3:5" x14ac:dyDescent="0.25">
      <c r="C60" s="8">
        <v>56</v>
      </c>
      <c r="D60" s="4" t="s">
        <v>57</v>
      </c>
      <c r="E60" s="5">
        <v>620101</v>
      </c>
    </row>
    <row r="61" spans="3:5" x14ac:dyDescent="0.25">
      <c r="C61" s="8">
        <v>57</v>
      </c>
      <c r="D61" s="4" t="s">
        <v>58</v>
      </c>
      <c r="E61" s="5">
        <v>620100</v>
      </c>
    </row>
    <row r="62" spans="3:5" x14ac:dyDescent="0.25">
      <c r="C62" s="8">
        <v>58</v>
      </c>
      <c r="D62" s="4" t="s">
        <v>59</v>
      </c>
      <c r="E62" s="5">
        <v>620200</v>
      </c>
    </row>
    <row r="63" spans="3:5" x14ac:dyDescent="0.25">
      <c r="C63" s="8">
        <v>59</v>
      </c>
      <c r="D63" s="6" t="s">
        <v>60</v>
      </c>
      <c r="E63" s="7">
        <v>612051</v>
      </c>
    </row>
    <row r="64" spans="3:5" x14ac:dyDescent="0.25">
      <c r="C64" s="8">
        <v>60</v>
      </c>
      <c r="D64" s="4" t="s">
        <v>61</v>
      </c>
      <c r="E64" s="5">
        <v>612050</v>
      </c>
    </row>
    <row r="65" spans="3:5" x14ac:dyDescent="0.25">
      <c r="C65" s="8">
        <v>61</v>
      </c>
      <c r="D65" s="4" t="s">
        <v>62</v>
      </c>
      <c r="E65" s="5">
        <v>610011</v>
      </c>
    </row>
    <row r="66" spans="3:5" x14ac:dyDescent="0.25">
      <c r="C66" s="8">
        <v>62</v>
      </c>
      <c r="D66" s="4" t="s">
        <v>63</v>
      </c>
      <c r="E66" s="5">
        <v>670000</v>
      </c>
    </row>
    <row r="67" spans="3:5" ht="33" x14ac:dyDescent="0.25">
      <c r="C67" s="8">
        <v>63</v>
      </c>
      <c r="D67" s="13" t="s">
        <v>104</v>
      </c>
      <c r="E67" s="5">
        <v>670302</v>
      </c>
    </row>
    <row r="68" spans="3:5" ht="16.5" customHeight="1" x14ac:dyDescent="0.25">
      <c r="C68" s="8">
        <v>64</v>
      </c>
      <c r="D68" s="4" t="s">
        <v>65</v>
      </c>
      <c r="E68" s="5">
        <v>612012</v>
      </c>
    </row>
    <row r="69" spans="3:5" x14ac:dyDescent="0.25">
      <c r="C69" s="8">
        <v>65</v>
      </c>
      <c r="D69" s="4" t="s">
        <v>66</v>
      </c>
      <c r="E69" s="5">
        <v>670100</v>
      </c>
    </row>
    <row r="70" spans="3:5" x14ac:dyDescent="0.25">
      <c r="C70" s="8">
        <v>66</v>
      </c>
      <c r="D70" s="4" t="s">
        <v>67</v>
      </c>
      <c r="E70" s="5">
        <v>612013</v>
      </c>
    </row>
    <row r="71" spans="3:5" x14ac:dyDescent="0.25">
      <c r="C71" s="8">
        <v>68</v>
      </c>
      <c r="D71" s="4" t="s">
        <v>68</v>
      </c>
      <c r="E71" s="5">
        <v>612040</v>
      </c>
    </row>
    <row r="72" spans="3:5" x14ac:dyDescent="0.25">
      <c r="C72" s="8">
        <v>69</v>
      </c>
      <c r="D72" s="4" t="s">
        <v>69</v>
      </c>
      <c r="E72" s="5">
        <v>201102</v>
      </c>
    </row>
    <row r="73" spans="3:5" x14ac:dyDescent="0.25">
      <c r="C73" s="8">
        <v>70</v>
      </c>
      <c r="D73" s="4" t="s">
        <v>70</v>
      </c>
      <c r="E73" s="5">
        <v>222801</v>
      </c>
    </row>
    <row r="74" spans="3:5" x14ac:dyDescent="0.25">
      <c r="C74" s="8">
        <v>71</v>
      </c>
      <c r="D74" s="4" t="s">
        <v>71</v>
      </c>
      <c r="E74" s="5">
        <v>222000</v>
      </c>
    </row>
    <row r="75" spans="3:5" x14ac:dyDescent="0.25">
      <c r="C75" s="8">
        <v>72</v>
      </c>
      <c r="D75" s="4" t="s">
        <v>72</v>
      </c>
      <c r="E75" s="5">
        <v>222803</v>
      </c>
    </row>
    <row r="76" spans="3:5" x14ac:dyDescent="0.25">
      <c r="C76" s="8">
        <v>73</v>
      </c>
      <c r="D76" s="4" t="s">
        <v>73</v>
      </c>
      <c r="E76" s="5">
        <v>222200</v>
      </c>
    </row>
    <row r="77" spans="3:5" ht="25.5" x14ac:dyDescent="0.25">
      <c r="C77" s="8">
        <v>74</v>
      </c>
      <c r="D77" s="4" t="s">
        <v>74</v>
      </c>
      <c r="E77" s="5">
        <v>222202</v>
      </c>
    </row>
    <row r="78" spans="3:5" x14ac:dyDescent="0.25">
      <c r="C78" s="8">
        <v>75</v>
      </c>
      <c r="D78" s="4" t="s">
        <v>75</v>
      </c>
      <c r="E78" s="5">
        <v>222500</v>
      </c>
    </row>
    <row r="79" spans="3:5" x14ac:dyDescent="0.25">
      <c r="C79" s="8">
        <v>76</v>
      </c>
      <c r="D79" s="4" t="s">
        <v>76</v>
      </c>
      <c r="E79" s="5">
        <v>222100</v>
      </c>
    </row>
    <row r="80" spans="3:5" x14ac:dyDescent="0.25">
      <c r="C80" s="8">
        <v>77</v>
      </c>
      <c r="D80" s="4" t="s">
        <v>77</v>
      </c>
      <c r="E80" s="5">
        <v>222700</v>
      </c>
    </row>
    <row r="81" spans="3:5" x14ac:dyDescent="0.25">
      <c r="C81" s="8">
        <f>C80+1</f>
        <v>78</v>
      </c>
      <c r="D81" s="4" t="s">
        <v>79</v>
      </c>
      <c r="E81" s="5">
        <v>222300</v>
      </c>
    </row>
    <row r="82" spans="3:5" x14ac:dyDescent="0.25">
      <c r="C82" s="8">
        <f t="shared" ref="C82:C107" si="0">C81+1</f>
        <v>79</v>
      </c>
      <c r="D82" s="4" t="s">
        <v>80</v>
      </c>
      <c r="E82" s="5">
        <v>670112</v>
      </c>
    </row>
    <row r="83" spans="3:5" x14ac:dyDescent="0.25">
      <c r="C83" s="8">
        <f t="shared" si="0"/>
        <v>80</v>
      </c>
      <c r="D83" s="4" t="s">
        <v>81</v>
      </c>
      <c r="E83" s="5">
        <v>670113</v>
      </c>
    </row>
    <row r="84" spans="3:5" x14ac:dyDescent="0.25">
      <c r="C84" s="8">
        <f t="shared" si="0"/>
        <v>81</v>
      </c>
      <c r="D84" s="4" t="s">
        <v>82</v>
      </c>
      <c r="E84" s="5">
        <v>660002</v>
      </c>
    </row>
    <row r="85" spans="3:5" x14ac:dyDescent="0.25">
      <c r="C85" s="8">
        <f t="shared" si="0"/>
        <v>82</v>
      </c>
      <c r="D85" s="4" t="s">
        <v>83</v>
      </c>
      <c r="E85" s="5">
        <v>671301</v>
      </c>
    </row>
    <row r="86" spans="3:5" x14ac:dyDescent="0.25">
      <c r="C86" s="8">
        <f t="shared" si="0"/>
        <v>83</v>
      </c>
      <c r="D86" s="6" t="s">
        <v>84</v>
      </c>
      <c r="E86" s="5">
        <v>610110</v>
      </c>
    </row>
    <row r="87" spans="3:5" x14ac:dyDescent="0.25">
      <c r="C87" s="8">
        <f t="shared" si="0"/>
        <v>84</v>
      </c>
      <c r="D87" s="6" t="s">
        <v>85</v>
      </c>
      <c r="E87" s="5">
        <v>610112</v>
      </c>
    </row>
    <row r="88" spans="3:5" x14ac:dyDescent="0.25">
      <c r="C88" s="8">
        <f t="shared" si="0"/>
        <v>85</v>
      </c>
      <c r="D88" s="4" t="s">
        <v>86</v>
      </c>
      <c r="E88" s="5">
        <v>610013</v>
      </c>
    </row>
    <row r="89" spans="3:5" x14ac:dyDescent="0.25">
      <c r="C89" s="8">
        <f t="shared" si="0"/>
        <v>86</v>
      </c>
      <c r="D89" s="4" t="s">
        <v>87</v>
      </c>
      <c r="E89" s="5">
        <v>670001</v>
      </c>
    </row>
    <row r="90" spans="3:5" x14ac:dyDescent="0.25">
      <c r="C90" s="8">
        <f t="shared" si="0"/>
        <v>87</v>
      </c>
      <c r="D90" s="4" t="s">
        <v>88</v>
      </c>
      <c r="E90" s="5">
        <v>612012</v>
      </c>
    </row>
    <row r="91" spans="3:5" x14ac:dyDescent="0.25">
      <c r="C91" s="8">
        <f t="shared" si="0"/>
        <v>88</v>
      </c>
      <c r="D91" s="4" t="s">
        <v>89</v>
      </c>
      <c r="E91" s="5">
        <v>612011</v>
      </c>
    </row>
    <row r="92" spans="3:5" x14ac:dyDescent="0.25">
      <c r="C92" s="8">
        <f t="shared" si="0"/>
        <v>89</v>
      </c>
      <c r="D92" s="6" t="s">
        <v>91</v>
      </c>
      <c r="E92" s="5">
        <v>610100</v>
      </c>
    </row>
    <row r="93" spans="3:5" x14ac:dyDescent="0.25">
      <c r="C93" s="8">
        <f t="shared" si="0"/>
        <v>90</v>
      </c>
      <c r="D93" s="4" t="s">
        <v>92</v>
      </c>
      <c r="E93" s="5">
        <v>610121</v>
      </c>
    </row>
    <row r="94" spans="3:5" x14ac:dyDescent="0.25">
      <c r="C94" s="8">
        <f t="shared" si="0"/>
        <v>91</v>
      </c>
      <c r="D94" s="4" t="s">
        <v>93</v>
      </c>
      <c r="E94" s="5">
        <v>610310</v>
      </c>
    </row>
    <row r="95" spans="3:5" x14ac:dyDescent="0.25">
      <c r="C95" s="8">
        <f t="shared" si="0"/>
        <v>92</v>
      </c>
      <c r="D95" s="4" t="s">
        <v>94</v>
      </c>
      <c r="E95" s="5">
        <v>610300</v>
      </c>
    </row>
    <row r="96" spans="3:5" x14ac:dyDescent="0.25">
      <c r="C96" s="8">
        <f t="shared" si="0"/>
        <v>93</v>
      </c>
      <c r="D96" s="4" t="s">
        <v>109</v>
      </c>
      <c r="E96" s="5">
        <v>222501</v>
      </c>
    </row>
    <row r="97" spans="2:5" x14ac:dyDescent="0.25">
      <c r="C97" s="8">
        <f t="shared" si="0"/>
        <v>94</v>
      </c>
      <c r="D97" s="4" t="s">
        <v>96</v>
      </c>
      <c r="E97" s="5">
        <v>221000</v>
      </c>
    </row>
    <row r="98" spans="2:5" x14ac:dyDescent="0.25">
      <c r="C98" s="8">
        <f t="shared" si="0"/>
        <v>95</v>
      </c>
      <c r="D98" s="4" t="s">
        <v>97</v>
      </c>
      <c r="E98" s="5">
        <v>620000</v>
      </c>
    </row>
    <row r="99" spans="2:5" ht="25.5" x14ac:dyDescent="0.25">
      <c r="C99" s="8">
        <f t="shared" si="0"/>
        <v>96</v>
      </c>
      <c r="D99" s="4" t="s">
        <v>98</v>
      </c>
      <c r="E99" s="5">
        <v>650102</v>
      </c>
    </row>
    <row r="100" spans="2:5" x14ac:dyDescent="0.25">
      <c r="C100" s="8">
        <f t="shared" si="0"/>
        <v>97</v>
      </c>
      <c r="D100" s="4" t="s">
        <v>99</v>
      </c>
      <c r="E100" s="5">
        <v>611100</v>
      </c>
    </row>
    <row r="101" spans="2:5" x14ac:dyDescent="0.25">
      <c r="C101" s="8">
        <f t="shared" si="0"/>
        <v>98</v>
      </c>
      <c r="D101" s="4" t="s">
        <v>100</v>
      </c>
      <c r="E101" s="5">
        <v>611300</v>
      </c>
    </row>
    <row r="102" spans="2:5" x14ac:dyDescent="0.25">
      <c r="C102" s="8">
        <f t="shared" si="0"/>
        <v>99</v>
      </c>
      <c r="D102" s="4" t="s">
        <v>101</v>
      </c>
      <c r="E102" s="5">
        <v>611200</v>
      </c>
    </row>
    <row r="103" spans="2:5" x14ac:dyDescent="0.25">
      <c r="B103" s="18"/>
      <c r="C103" s="8">
        <f t="shared" si="0"/>
        <v>100</v>
      </c>
      <c r="D103" s="4" t="s">
        <v>105</v>
      </c>
      <c r="E103" s="5">
        <v>670409</v>
      </c>
    </row>
    <row r="104" spans="2:5" x14ac:dyDescent="0.25">
      <c r="C104" s="8">
        <f t="shared" si="0"/>
        <v>101</v>
      </c>
      <c r="D104" s="14" t="s">
        <v>108</v>
      </c>
      <c r="E104" s="15">
        <v>670101</v>
      </c>
    </row>
    <row r="105" spans="2:5" x14ac:dyDescent="0.25">
      <c r="C105" s="8">
        <f t="shared" si="0"/>
        <v>102</v>
      </c>
      <c r="D105" s="14" t="s">
        <v>50</v>
      </c>
      <c r="E105" s="15">
        <v>670102</v>
      </c>
    </row>
    <row r="106" spans="2:5" x14ac:dyDescent="0.25">
      <c r="C106" s="8">
        <f t="shared" si="0"/>
        <v>103</v>
      </c>
      <c r="D106" s="14" t="s">
        <v>66</v>
      </c>
      <c r="E106" s="15">
        <v>670100</v>
      </c>
    </row>
    <row r="107" spans="2:5" ht="15.75" x14ac:dyDescent="0.25">
      <c r="C107" s="8">
        <f t="shared" si="0"/>
        <v>104</v>
      </c>
      <c r="D107" s="16" t="s">
        <v>90</v>
      </c>
      <c r="E107" s="17">
        <v>620908</v>
      </c>
    </row>
    <row r="166" spans="5:5" x14ac:dyDescent="0.25">
      <c r="E166">
        <v>670110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C3:K123"/>
  <sheetViews>
    <sheetView workbookViewId="0">
      <pane ySplit="5" topLeftCell="A18" activePane="bottomLeft" state="frozen"/>
      <selection pane="bottomLeft" activeCell="E14" sqref="E14"/>
    </sheetView>
  </sheetViews>
  <sheetFormatPr baseColWidth="10" defaultColWidth="9.140625" defaultRowHeight="15" x14ac:dyDescent="0.25"/>
  <cols>
    <col min="3" max="3" width="6.7109375" customWidth="1"/>
    <col min="4" max="4" width="11.5703125" customWidth="1"/>
    <col min="5" max="5" width="88.85546875" customWidth="1"/>
  </cols>
  <sheetData>
    <row r="3" spans="3:5" ht="20.25" x14ac:dyDescent="0.3">
      <c r="C3" s="34" t="s">
        <v>102</v>
      </c>
      <c r="D3" s="34"/>
      <c r="E3" s="34"/>
    </row>
    <row r="5" spans="3:5" x14ac:dyDescent="0.25">
      <c r="C5" s="9" t="s">
        <v>0</v>
      </c>
      <c r="D5" s="1" t="s">
        <v>2</v>
      </c>
      <c r="E5" s="1" t="s">
        <v>1</v>
      </c>
    </row>
    <row r="6" spans="3:5" x14ac:dyDescent="0.25">
      <c r="C6" s="8">
        <f>1</f>
        <v>1</v>
      </c>
      <c r="D6" s="7">
        <v>201100</v>
      </c>
      <c r="E6" s="6" t="s">
        <v>32</v>
      </c>
    </row>
    <row r="7" spans="3:5" x14ac:dyDescent="0.25">
      <c r="C7" s="8">
        <f>C6+1</f>
        <v>2</v>
      </c>
      <c r="D7" s="7">
        <v>201101</v>
      </c>
      <c r="E7" s="6" t="s">
        <v>31</v>
      </c>
    </row>
    <row r="8" spans="3:5" x14ac:dyDescent="0.25">
      <c r="C8" s="8">
        <f>C7+1</f>
        <v>3</v>
      </c>
      <c r="D8" s="5">
        <v>201102</v>
      </c>
      <c r="E8" s="4" t="s">
        <v>69</v>
      </c>
    </row>
    <row r="9" spans="3:5" x14ac:dyDescent="0.25">
      <c r="C9" s="25"/>
      <c r="D9" s="21">
        <v>201103</v>
      </c>
      <c r="E9" s="22" t="s">
        <v>113</v>
      </c>
    </row>
    <row r="10" spans="3:5" x14ac:dyDescent="0.25">
      <c r="C10" s="25"/>
      <c r="D10" s="21">
        <v>201104</v>
      </c>
      <c r="E10" s="22" t="s">
        <v>114</v>
      </c>
    </row>
    <row r="11" spans="3:5" x14ac:dyDescent="0.25">
      <c r="C11" s="25"/>
      <c r="D11" s="21">
        <v>201105</v>
      </c>
      <c r="E11" s="22" t="s">
        <v>112</v>
      </c>
    </row>
    <row r="12" spans="3:5" x14ac:dyDescent="0.25">
      <c r="C12" s="8">
        <f>C11+1</f>
        <v>1</v>
      </c>
      <c r="D12" s="7">
        <v>220100</v>
      </c>
      <c r="E12" s="4" t="s">
        <v>20</v>
      </c>
    </row>
    <row r="13" spans="3:5" x14ac:dyDescent="0.25">
      <c r="C13" s="25"/>
      <c r="D13" s="19">
        <v>220200</v>
      </c>
      <c r="E13" s="22" t="s">
        <v>130</v>
      </c>
    </row>
    <row r="14" spans="3:5" ht="15.75" customHeight="1" x14ac:dyDescent="0.25">
      <c r="C14" s="25"/>
      <c r="D14" s="5">
        <v>220500</v>
      </c>
      <c r="E14" s="26" t="s">
        <v>131</v>
      </c>
    </row>
    <row r="15" spans="3:5" ht="15" customHeight="1" x14ac:dyDescent="0.25">
      <c r="C15" s="25"/>
      <c r="D15" s="21">
        <v>220501</v>
      </c>
      <c r="E15" s="22" t="s">
        <v>132</v>
      </c>
    </row>
    <row r="16" spans="3:5" x14ac:dyDescent="0.25">
      <c r="C16" s="8">
        <f>C15+1</f>
        <v>1</v>
      </c>
      <c r="D16" s="5">
        <v>221000</v>
      </c>
      <c r="E16" s="4" t="s">
        <v>96</v>
      </c>
    </row>
    <row r="17" spans="3:11" x14ac:dyDescent="0.25">
      <c r="C17" s="25"/>
      <c r="D17" s="21">
        <v>221002</v>
      </c>
      <c r="E17" s="22" t="s">
        <v>133</v>
      </c>
    </row>
    <row r="18" spans="3:11" x14ac:dyDescent="0.25">
      <c r="C18" s="8">
        <f t="shared" ref="C18:C23" si="0">C17+1</f>
        <v>1</v>
      </c>
      <c r="D18" s="5">
        <v>221102</v>
      </c>
      <c r="E18" s="4" t="s">
        <v>6</v>
      </c>
    </row>
    <row r="19" spans="3:11" x14ac:dyDescent="0.25">
      <c r="C19" s="8">
        <f t="shared" si="0"/>
        <v>2</v>
      </c>
      <c r="D19" s="5">
        <v>222000</v>
      </c>
      <c r="E19" s="4" t="s">
        <v>71</v>
      </c>
    </row>
    <row r="20" spans="3:11" x14ac:dyDescent="0.25">
      <c r="C20" s="8">
        <f t="shared" si="0"/>
        <v>3</v>
      </c>
      <c r="D20" s="5">
        <v>222100</v>
      </c>
      <c r="E20" s="4" t="s">
        <v>76</v>
      </c>
    </row>
    <row r="21" spans="3:11" x14ac:dyDescent="0.25">
      <c r="C21" s="8">
        <f t="shared" si="0"/>
        <v>4</v>
      </c>
      <c r="D21" s="5">
        <v>222200</v>
      </c>
      <c r="E21" s="4" t="s">
        <v>73</v>
      </c>
    </row>
    <row r="22" spans="3:11" x14ac:dyDescent="0.25">
      <c r="C22" s="8">
        <f t="shared" si="0"/>
        <v>5</v>
      </c>
      <c r="D22" s="5">
        <v>222202</v>
      </c>
      <c r="E22" s="4" t="s">
        <v>128</v>
      </c>
    </row>
    <row r="23" spans="3:11" x14ac:dyDescent="0.25">
      <c r="C23" s="8">
        <f t="shared" si="0"/>
        <v>6</v>
      </c>
      <c r="D23" s="5">
        <v>222300</v>
      </c>
      <c r="E23" s="4" t="s">
        <v>79</v>
      </c>
    </row>
    <row r="24" spans="3:11" x14ac:dyDescent="0.25">
      <c r="C24" s="25"/>
      <c r="D24" s="21">
        <v>222400</v>
      </c>
      <c r="E24" s="22" t="s">
        <v>115</v>
      </c>
      <c r="I24">
        <v>280</v>
      </c>
      <c r="J24">
        <f>100+70</f>
        <v>170</v>
      </c>
      <c r="K24">
        <f>I24+J24</f>
        <v>450</v>
      </c>
    </row>
    <row r="25" spans="3:11" x14ac:dyDescent="0.25">
      <c r="C25" s="8">
        <f t="shared" ref="C25:C67" si="1">C24+1</f>
        <v>1</v>
      </c>
      <c r="D25" s="5">
        <v>222500</v>
      </c>
      <c r="E25" s="4" t="s">
        <v>78</v>
      </c>
    </row>
    <row r="26" spans="3:11" x14ac:dyDescent="0.25">
      <c r="C26" s="8">
        <f t="shared" si="1"/>
        <v>2</v>
      </c>
      <c r="D26" s="5">
        <v>222501</v>
      </c>
      <c r="E26" s="4" t="s">
        <v>95</v>
      </c>
      <c r="I26">
        <v>360</v>
      </c>
      <c r="J26">
        <v>90</v>
      </c>
      <c r="K26">
        <f t="shared" ref="K26" si="2">I26+J26</f>
        <v>450</v>
      </c>
    </row>
    <row r="27" spans="3:11" x14ac:dyDescent="0.25">
      <c r="C27" s="8">
        <f t="shared" si="1"/>
        <v>3</v>
      </c>
      <c r="D27" s="5">
        <v>222700</v>
      </c>
      <c r="E27" s="4" t="s">
        <v>77</v>
      </c>
    </row>
    <row r="28" spans="3:11" x14ac:dyDescent="0.25">
      <c r="C28" s="8">
        <f t="shared" si="1"/>
        <v>4</v>
      </c>
      <c r="D28" s="5">
        <v>222801</v>
      </c>
      <c r="E28" s="4" t="s">
        <v>70</v>
      </c>
    </row>
    <row r="29" spans="3:11" x14ac:dyDescent="0.25">
      <c r="C29" s="8">
        <f t="shared" si="1"/>
        <v>5</v>
      </c>
      <c r="D29" s="5">
        <v>222803</v>
      </c>
      <c r="E29" s="4" t="s">
        <v>72</v>
      </c>
    </row>
    <row r="30" spans="3:11" x14ac:dyDescent="0.25">
      <c r="C30" s="8">
        <f t="shared" si="1"/>
        <v>6</v>
      </c>
      <c r="D30" s="5">
        <v>222804</v>
      </c>
      <c r="E30" s="4" t="s">
        <v>13</v>
      </c>
    </row>
    <row r="31" spans="3:11" x14ac:dyDescent="0.25">
      <c r="C31" s="8">
        <f t="shared" si="1"/>
        <v>7</v>
      </c>
      <c r="D31" s="7">
        <v>222804</v>
      </c>
      <c r="E31" s="6" t="s">
        <v>30</v>
      </c>
    </row>
    <row r="32" spans="3:11" x14ac:dyDescent="0.25">
      <c r="C32" s="8">
        <f t="shared" si="1"/>
        <v>8</v>
      </c>
      <c r="D32" s="5">
        <v>610010</v>
      </c>
      <c r="E32" s="4" t="s">
        <v>34</v>
      </c>
    </row>
    <row r="33" spans="3:5" x14ac:dyDescent="0.25">
      <c r="C33" s="8">
        <f t="shared" si="1"/>
        <v>9</v>
      </c>
      <c r="D33" s="5">
        <v>610011</v>
      </c>
      <c r="E33" s="4" t="s">
        <v>62</v>
      </c>
    </row>
    <row r="34" spans="3:5" x14ac:dyDescent="0.25">
      <c r="C34" s="8">
        <f t="shared" si="1"/>
        <v>10</v>
      </c>
      <c r="D34" s="5">
        <v>610012</v>
      </c>
      <c r="E34" s="4" t="s">
        <v>35</v>
      </c>
    </row>
    <row r="35" spans="3:5" x14ac:dyDescent="0.25">
      <c r="C35" s="8">
        <f t="shared" si="1"/>
        <v>11</v>
      </c>
      <c r="D35" s="5">
        <v>610013</v>
      </c>
      <c r="E35" s="4" t="s">
        <v>127</v>
      </c>
    </row>
    <row r="36" spans="3:5" x14ac:dyDescent="0.25">
      <c r="C36" s="8">
        <f t="shared" si="1"/>
        <v>12</v>
      </c>
      <c r="D36" s="3">
        <v>610040</v>
      </c>
      <c r="E36" s="2" t="s">
        <v>3</v>
      </c>
    </row>
    <row r="37" spans="3:5" x14ac:dyDescent="0.25">
      <c r="C37" s="8">
        <f t="shared" si="1"/>
        <v>13</v>
      </c>
      <c r="D37" s="5">
        <v>610100</v>
      </c>
      <c r="E37" s="6" t="s">
        <v>91</v>
      </c>
    </row>
    <row r="38" spans="3:5" x14ac:dyDescent="0.25">
      <c r="C38" s="8">
        <f t="shared" si="1"/>
        <v>14</v>
      </c>
      <c r="D38" s="5">
        <v>610110</v>
      </c>
      <c r="E38" s="6" t="s">
        <v>84</v>
      </c>
    </row>
    <row r="39" spans="3:5" x14ac:dyDescent="0.25">
      <c r="C39" s="8">
        <f t="shared" si="1"/>
        <v>15</v>
      </c>
      <c r="D39" s="5">
        <v>610112</v>
      </c>
      <c r="E39" s="6" t="s">
        <v>85</v>
      </c>
    </row>
    <row r="40" spans="3:5" x14ac:dyDescent="0.25">
      <c r="C40" s="8">
        <f t="shared" si="1"/>
        <v>16</v>
      </c>
      <c r="D40" s="5">
        <v>610120</v>
      </c>
      <c r="E40" s="4" t="s">
        <v>16</v>
      </c>
    </row>
    <row r="41" spans="3:5" x14ac:dyDescent="0.25">
      <c r="C41" s="8">
        <f t="shared" si="1"/>
        <v>17</v>
      </c>
      <c r="D41" s="7">
        <v>610121</v>
      </c>
      <c r="E41" s="6" t="s">
        <v>126</v>
      </c>
    </row>
    <row r="42" spans="3:5" x14ac:dyDescent="0.25">
      <c r="C42" s="8">
        <f t="shared" si="1"/>
        <v>18</v>
      </c>
      <c r="D42" s="5">
        <v>610121</v>
      </c>
      <c r="E42" s="4" t="s">
        <v>92</v>
      </c>
    </row>
    <row r="43" spans="3:5" x14ac:dyDescent="0.25">
      <c r="C43" s="8">
        <f t="shared" si="1"/>
        <v>19</v>
      </c>
      <c r="D43" s="5">
        <v>610200</v>
      </c>
      <c r="E43" s="6" t="s">
        <v>24</v>
      </c>
    </row>
    <row r="44" spans="3:5" x14ac:dyDescent="0.25">
      <c r="C44" s="8">
        <f t="shared" si="1"/>
        <v>20</v>
      </c>
      <c r="D44" s="5">
        <v>610210</v>
      </c>
      <c r="E44" s="6" t="s">
        <v>23</v>
      </c>
    </row>
    <row r="45" spans="3:5" x14ac:dyDescent="0.25">
      <c r="C45" s="8">
        <f t="shared" si="1"/>
        <v>21</v>
      </c>
      <c r="D45" s="5">
        <v>610220</v>
      </c>
      <c r="E45" s="4" t="s">
        <v>18</v>
      </c>
    </row>
    <row r="46" spans="3:5" x14ac:dyDescent="0.25">
      <c r="C46" s="8">
        <f t="shared" si="1"/>
        <v>22</v>
      </c>
      <c r="D46" s="5">
        <v>610300</v>
      </c>
      <c r="E46" s="4" t="s">
        <v>125</v>
      </c>
    </row>
    <row r="47" spans="3:5" x14ac:dyDescent="0.25">
      <c r="C47" s="8">
        <f t="shared" si="1"/>
        <v>23</v>
      </c>
      <c r="D47" s="5">
        <v>610310</v>
      </c>
      <c r="E47" s="4" t="s">
        <v>93</v>
      </c>
    </row>
    <row r="48" spans="3:5" x14ac:dyDescent="0.25">
      <c r="C48" s="8">
        <f t="shared" si="1"/>
        <v>24</v>
      </c>
      <c r="D48" s="5">
        <v>611100</v>
      </c>
      <c r="E48" s="4" t="s">
        <v>99</v>
      </c>
    </row>
    <row r="49" spans="3:5" x14ac:dyDescent="0.25">
      <c r="C49" s="8">
        <f t="shared" si="1"/>
        <v>25</v>
      </c>
      <c r="D49" s="5">
        <v>611101</v>
      </c>
      <c r="E49" s="4" t="s">
        <v>15</v>
      </c>
    </row>
    <row r="50" spans="3:5" x14ac:dyDescent="0.25">
      <c r="C50" s="8">
        <f t="shared" si="1"/>
        <v>26</v>
      </c>
      <c r="D50" s="5">
        <v>611200</v>
      </c>
      <c r="E50" s="4" t="s">
        <v>101</v>
      </c>
    </row>
    <row r="51" spans="3:5" x14ac:dyDescent="0.25">
      <c r="C51" s="8">
        <f t="shared" si="1"/>
        <v>27</v>
      </c>
      <c r="D51" s="5">
        <v>611300</v>
      </c>
      <c r="E51" s="4" t="s">
        <v>124</v>
      </c>
    </row>
    <row r="52" spans="3:5" x14ac:dyDescent="0.25">
      <c r="C52" s="8">
        <f t="shared" si="1"/>
        <v>28</v>
      </c>
      <c r="D52" s="5">
        <v>611400</v>
      </c>
      <c r="E52" s="4" t="s">
        <v>14</v>
      </c>
    </row>
    <row r="53" spans="3:5" x14ac:dyDescent="0.25">
      <c r="C53" s="8">
        <f t="shared" si="1"/>
        <v>29</v>
      </c>
      <c r="D53" s="7">
        <v>612000</v>
      </c>
      <c r="E53" s="6" t="s">
        <v>17</v>
      </c>
    </row>
    <row r="54" spans="3:5" x14ac:dyDescent="0.25">
      <c r="C54" s="8">
        <f t="shared" si="1"/>
        <v>30</v>
      </c>
      <c r="D54" s="5">
        <v>612000</v>
      </c>
      <c r="E54" s="4" t="s">
        <v>44</v>
      </c>
    </row>
    <row r="55" spans="3:5" x14ac:dyDescent="0.25">
      <c r="C55" s="8">
        <f t="shared" si="1"/>
        <v>31</v>
      </c>
      <c r="D55" s="5">
        <v>612010</v>
      </c>
      <c r="E55" s="4" t="s">
        <v>51</v>
      </c>
    </row>
    <row r="56" spans="3:5" x14ac:dyDescent="0.25">
      <c r="C56" s="8">
        <f t="shared" si="1"/>
        <v>32</v>
      </c>
      <c r="D56" s="5">
        <v>612011</v>
      </c>
      <c r="E56" s="4" t="s">
        <v>89</v>
      </c>
    </row>
    <row r="57" spans="3:5" x14ac:dyDescent="0.25">
      <c r="C57" s="8">
        <f t="shared" si="1"/>
        <v>33</v>
      </c>
      <c r="D57" s="5">
        <v>612012</v>
      </c>
      <c r="E57" s="4" t="s">
        <v>65</v>
      </c>
    </row>
    <row r="58" spans="3:5" x14ac:dyDescent="0.25">
      <c r="C58" s="8">
        <f t="shared" si="1"/>
        <v>34</v>
      </c>
      <c r="D58" s="5">
        <v>612012</v>
      </c>
      <c r="E58" s="4" t="s">
        <v>88</v>
      </c>
    </row>
    <row r="59" spans="3:5" x14ac:dyDescent="0.25">
      <c r="C59" s="8">
        <f t="shared" si="1"/>
        <v>35</v>
      </c>
      <c r="D59" s="5">
        <v>612013</v>
      </c>
      <c r="E59" s="4" t="s">
        <v>67</v>
      </c>
    </row>
    <row r="60" spans="3:5" x14ac:dyDescent="0.25">
      <c r="C60" s="8">
        <f t="shared" si="1"/>
        <v>36</v>
      </c>
      <c r="D60" s="5">
        <v>612013</v>
      </c>
      <c r="E60" s="4" t="s">
        <v>67</v>
      </c>
    </row>
    <row r="61" spans="3:5" x14ac:dyDescent="0.25">
      <c r="C61" s="8">
        <f t="shared" si="1"/>
        <v>37</v>
      </c>
      <c r="D61" s="5">
        <v>612020</v>
      </c>
      <c r="E61" s="4" t="s">
        <v>41</v>
      </c>
    </row>
    <row r="62" spans="3:5" x14ac:dyDescent="0.25">
      <c r="C62" s="8">
        <f t="shared" si="1"/>
        <v>38</v>
      </c>
      <c r="D62" s="5">
        <v>612021</v>
      </c>
      <c r="E62" s="4" t="s">
        <v>42</v>
      </c>
    </row>
    <row r="63" spans="3:5" x14ac:dyDescent="0.25">
      <c r="C63" s="8">
        <f t="shared" si="1"/>
        <v>39</v>
      </c>
      <c r="D63" s="5">
        <v>612030</v>
      </c>
      <c r="E63" s="4" t="s">
        <v>40</v>
      </c>
    </row>
    <row r="64" spans="3:5" x14ac:dyDescent="0.25">
      <c r="C64" s="8">
        <f t="shared" si="1"/>
        <v>40</v>
      </c>
      <c r="D64" s="5">
        <v>612040</v>
      </c>
      <c r="E64" s="4" t="s">
        <v>68</v>
      </c>
    </row>
    <row r="65" spans="3:5" x14ac:dyDescent="0.25">
      <c r="C65" s="8">
        <f t="shared" si="1"/>
        <v>41</v>
      </c>
      <c r="D65" s="5">
        <v>612042</v>
      </c>
      <c r="E65" s="4" t="s">
        <v>37</v>
      </c>
    </row>
    <row r="66" spans="3:5" x14ac:dyDescent="0.25">
      <c r="C66" s="8">
        <f t="shared" si="1"/>
        <v>42</v>
      </c>
      <c r="D66" s="5">
        <v>612050</v>
      </c>
      <c r="E66" s="4" t="s">
        <v>61</v>
      </c>
    </row>
    <row r="67" spans="3:5" x14ac:dyDescent="0.25">
      <c r="C67" s="8">
        <f t="shared" si="1"/>
        <v>43</v>
      </c>
      <c r="D67" s="7">
        <v>612051</v>
      </c>
      <c r="E67" s="6" t="s">
        <v>60</v>
      </c>
    </row>
    <row r="68" spans="3:5" x14ac:dyDescent="0.25">
      <c r="C68" s="8"/>
      <c r="D68" s="7">
        <v>612051</v>
      </c>
      <c r="E68" s="6" t="s">
        <v>111</v>
      </c>
    </row>
    <row r="69" spans="3:5" x14ac:dyDescent="0.25">
      <c r="C69" s="8">
        <f>C68+1</f>
        <v>1</v>
      </c>
      <c r="D69" s="5">
        <v>612052</v>
      </c>
      <c r="E69" s="4" t="s">
        <v>52</v>
      </c>
    </row>
    <row r="70" spans="3:5" x14ac:dyDescent="0.25">
      <c r="C70" s="8"/>
      <c r="D70" s="21">
        <v>612055</v>
      </c>
      <c r="E70" s="22" t="s">
        <v>110</v>
      </c>
    </row>
    <row r="71" spans="3:5" x14ac:dyDescent="0.25">
      <c r="C71" s="8">
        <f>C68+1</f>
        <v>1</v>
      </c>
      <c r="D71" s="5">
        <v>612090</v>
      </c>
      <c r="E71" s="4" t="s">
        <v>33</v>
      </c>
    </row>
    <row r="72" spans="3:5" x14ac:dyDescent="0.25">
      <c r="C72" s="8">
        <f t="shared" ref="C72:C92" si="3">C71+1</f>
        <v>2</v>
      </c>
      <c r="D72" s="5">
        <v>612091</v>
      </c>
      <c r="E72" s="4" t="s">
        <v>5</v>
      </c>
    </row>
    <row r="73" spans="3:5" x14ac:dyDescent="0.25">
      <c r="C73" s="8">
        <f t="shared" si="3"/>
        <v>3</v>
      </c>
      <c r="D73" s="5">
        <v>612110</v>
      </c>
      <c r="E73" s="4" t="s">
        <v>25</v>
      </c>
    </row>
    <row r="74" spans="3:5" x14ac:dyDescent="0.25">
      <c r="C74" s="8">
        <f t="shared" si="3"/>
        <v>4</v>
      </c>
      <c r="D74" s="5">
        <v>612120</v>
      </c>
      <c r="E74" s="4" t="s">
        <v>29</v>
      </c>
    </row>
    <row r="75" spans="3:5" x14ac:dyDescent="0.25">
      <c r="C75" s="8">
        <f t="shared" si="3"/>
        <v>5</v>
      </c>
      <c r="D75" s="5">
        <v>612130</v>
      </c>
      <c r="E75" s="4" t="s">
        <v>26</v>
      </c>
    </row>
    <row r="76" spans="3:5" x14ac:dyDescent="0.25">
      <c r="C76" s="8">
        <f t="shared" si="3"/>
        <v>6</v>
      </c>
      <c r="D76" s="5">
        <v>612140</v>
      </c>
      <c r="E76" s="4" t="s">
        <v>28</v>
      </c>
    </row>
    <row r="77" spans="3:5" x14ac:dyDescent="0.25">
      <c r="C77" s="8">
        <f t="shared" si="3"/>
        <v>7</v>
      </c>
      <c r="D77" s="5">
        <v>612141</v>
      </c>
      <c r="E77" s="4" t="s">
        <v>27</v>
      </c>
    </row>
    <row r="78" spans="3:5" x14ac:dyDescent="0.25">
      <c r="C78" s="8">
        <f t="shared" si="3"/>
        <v>8</v>
      </c>
      <c r="D78" s="5">
        <v>620000</v>
      </c>
      <c r="E78" s="4" t="s">
        <v>97</v>
      </c>
    </row>
    <row r="79" spans="3:5" x14ac:dyDescent="0.25">
      <c r="C79" s="8">
        <f t="shared" si="3"/>
        <v>9</v>
      </c>
      <c r="D79" s="5">
        <v>620100</v>
      </c>
      <c r="E79" s="4" t="s">
        <v>58</v>
      </c>
    </row>
    <row r="80" spans="3:5" ht="16.5" customHeight="1" x14ac:dyDescent="0.25">
      <c r="C80" s="8">
        <f t="shared" si="3"/>
        <v>10</v>
      </c>
      <c r="D80" s="5">
        <v>620101</v>
      </c>
      <c r="E80" s="4" t="s">
        <v>57</v>
      </c>
    </row>
    <row r="81" spans="3:5" x14ac:dyDescent="0.25">
      <c r="C81" s="8">
        <f t="shared" si="3"/>
        <v>11</v>
      </c>
      <c r="D81" s="5">
        <v>620200</v>
      </c>
      <c r="E81" s="4" t="s">
        <v>59</v>
      </c>
    </row>
    <row r="82" spans="3:5" x14ac:dyDescent="0.25">
      <c r="C82" s="8">
        <f t="shared" si="3"/>
        <v>12</v>
      </c>
      <c r="D82" s="5">
        <v>620400</v>
      </c>
      <c r="E82" s="4" t="s">
        <v>21</v>
      </c>
    </row>
    <row r="83" spans="3:5" x14ac:dyDescent="0.25">
      <c r="C83" s="8">
        <f t="shared" si="3"/>
        <v>13</v>
      </c>
      <c r="D83" s="5">
        <v>620401</v>
      </c>
      <c r="E83" s="4" t="s">
        <v>4</v>
      </c>
    </row>
    <row r="84" spans="3:5" x14ac:dyDescent="0.25">
      <c r="C84" s="8">
        <f t="shared" si="3"/>
        <v>14</v>
      </c>
      <c r="D84" s="5">
        <v>620500</v>
      </c>
      <c r="E84" s="4" t="s">
        <v>22</v>
      </c>
    </row>
    <row r="85" spans="3:5" x14ac:dyDescent="0.25">
      <c r="C85" s="8">
        <f t="shared" si="3"/>
        <v>15</v>
      </c>
      <c r="D85" s="8">
        <v>620600</v>
      </c>
      <c r="E85" s="10" t="s">
        <v>47</v>
      </c>
    </row>
    <row r="86" spans="3:5" x14ac:dyDescent="0.25">
      <c r="C86" s="8">
        <f t="shared" si="3"/>
        <v>16</v>
      </c>
      <c r="D86" s="5">
        <v>620909</v>
      </c>
      <c r="E86" s="4" t="s">
        <v>123</v>
      </c>
    </row>
    <row r="87" spans="3:5" x14ac:dyDescent="0.25">
      <c r="C87" s="8">
        <f t="shared" si="3"/>
        <v>17</v>
      </c>
      <c r="D87" s="5">
        <v>620912</v>
      </c>
      <c r="E87" s="4" t="s">
        <v>39</v>
      </c>
    </row>
    <row r="88" spans="3:5" x14ac:dyDescent="0.25">
      <c r="C88" s="8">
        <f t="shared" si="3"/>
        <v>18</v>
      </c>
      <c r="D88" s="5">
        <v>650102</v>
      </c>
      <c r="E88" s="4" t="s">
        <v>122</v>
      </c>
    </row>
    <row r="89" spans="3:5" x14ac:dyDescent="0.25">
      <c r="C89" s="8">
        <f t="shared" si="3"/>
        <v>19</v>
      </c>
      <c r="D89" s="5">
        <v>660001</v>
      </c>
      <c r="E89" s="4" t="s">
        <v>43</v>
      </c>
    </row>
    <row r="90" spans="3:5" x14ac:dyDescent="0.25">
      <c r="C90" s="8">
        <f t="shared" si="3"/>
        <v>20</v>
      </c>
      <c r="D90" s="5">
        <v>660002</v>
      </c>
      <c r="E90" s="4" t="s">
        <v>82</v>
      </c>
    </row>
    <row r="91" spans="3:5" x14ac:dyDescent="0.25">
      <c r="C91" s="8">
        <f t="shared" si="3"/>
        <v>21</v>
      </c>
      <c r="D91" s="5">
        <v>670000</v>
      </c>
      <c r="E91" s="4" t="s">
        <v>63</v>
      </c>
    </row>
    <row r="92" spans="3:5" ht="18.75" customHeight="1" x14ac:dyDescent="0.25">
      <c r="C92" s="8">
        <f t="shared" si="3"/>
        <v>22</v>
      </c>
      <c r="D92" s="5">
        <v>670001</v>
      </c>
      <c r="E92" s="4" t="s">
        <v>87</v>
      </c>
    </row>
    <row r="93" spans="3:5" ht="18" customHeight="1" x14ac:dyDescent="0.25">
      <c r="C93" s="25"/>
      <c r="D93" s="21">
        <v>670030</v>
      </c>
      <c r="E93" s="22" t="s">
        <v>116</v>
      </c>
    </row>
    <row r="94" spans="3:5" x14ac:dyDescent="0.25">
      <c r="C94" s="25"/>
      <c r="D94" s="21">
        <v>670030</v>
      </c>
      <c r="E94" s="22" t="s">
        <v>116</v>
      </c>
    </row>
    <row r="95" spans="3:5" x14ac:dyDescent="0.25">
      <c r="C95" s="8">
        <f t="shared" ref="C95:C119" si="4">C94+1</f>
        <v>1</v>
      </c>
      <c r="D95" s="5">
        <v>670051</v>
      </c>
      <c r="E95" s="4" t="s">
        <v>49</v>
      </c>
    </row>
    <row r="96" spans="3:5" x14ac:dyDescent="0.25">
      <c r="C96" s="8">
        <f t="shared" si="4"/>
        <v>2</v>
      </c>
      <c r="D96" s="5">
        <v>670100</v>
      </c>
      <c r="E96" s="4" t="s">
        <v>106</v>
      </c>
    </row>
    <row r="97" spans="3:5" x14ac:dyDescent="0.25">
      <c r="C97" s="8">
        <f t="shared" si="4"/>
        <v>3</v>
      </c>
      <c r="D97" s="5">
        <v>670101</v>
      </c>
      <c r="E97" s="4" t="s">
        <v>50</v>
      </c>
    </row>
    <row r="98" spans="3:5" ht="17.25" customHeight="1" x14ac:dyDescent="0.25">
      <c r="C98" s="8">
        <f t="shared" si="4"/>
        <v>4</v>
      </c>
      <c r="D98" s="5">
        <v>670110</v>
      </c>
      <c r="E98" s="4" t="s">
        <v>12</v>
      </c>
    </row>
    <row r="99" spans="3:5" ht="19.5" customHeight="1" x14ac:dyDescent="0.25">
      <c r="C99" s="8">
        <f t="shared" si="4"/>
        <v>5</v>
      </c>
      <c r="D99" s="5">
        <v>670112</v>
      </c>
      <c r="E99" s="4" t="s">
        <v>80</v>
      </c>
    </row>
    <row r="100" spans="3:5" x14ac:dyDescent="0.25">
      <c r="C100" s="8">
        <f t="shared" si="4"/>
        <v>6</v>
      </c>
      <c r="D100" s="5">
        <v>670113</v>
      </c>
      <c r="E100" s="4" t="s">
        <v>81</v>
      </c>
    </row>
    <row r="101" spans="3:5" x14ac:dyDescent="0.25">
      <c r="C101" s="8">
        <f t="shared" si="4"/>
        <v>7</v>
      </c>
      <c r="D101" s="5">
        <v>670114</v>
      </c>
      <c r="E101" s="4" t="s">
        <v>120</v>
      </c>
    </row>
    <row r="102" spans="3:5" x14ac:dyDescent="0.25">
      <c r="C102" s="8">
        <f t="shared" si="4"/>
        <v>8</v>
      </c>
      <c r="D102" s="5">
        <v>670115</v>
      </c>
      <c r="E102" s="4" t="s">
        <v>45</v>
      </c>
    </row>
    <row r="103" spans="3:5" x14ac:dyDescent="0.25">
      <c r="C103" s="8">
        <f t="shared" si="4"/>
        <v>9</v>
      </c>
      <c r="D103" s="5">
        <v>670116</v>
      </c>
      <c r="E103" s="4" t="s">
        <v>121</v>
      </c>
    </row>
    <row r="104" spans="3:5" x14ac:dyDescent="0.25">
      <c r="C104" s="8">
        <f t="shared" si="4"/>
        <v>10</v>
      </c>
      <c r="D104" s="5">
        <v>670117</v>
      </c>
      <c r="E104" s="29" t="s">
        <v>138</v>
      </c>
    </row>
    <row r="105" spans="3:5" x14ac:dyDescent="0.25">
      <c r="C105" s="8">
        <f t="shared" si="4"/>
        <v>11</v>
      </c>
      <c r="D105" s="5">
        <v>670118</v>
      </c>
      <c r="E105" s="4" t="s">
        <v>55</v>
      </c>
    </row>
    <row r="106" spans="3:5" x14ac:dyDescent="0.25">
      <c r="C106" s="8">
        <f t="shared" si="4"/>
        <v>12</v>
      </c>
      <c r="D106" s="5">
        <v>670119</v>
      </c>
      <c r="E106" s="4" t="s">
        <v>7</v>
      </c>
    </row>
    <row r="107" spans="3:5" x14ac:dyDescent="0.25">
      <c r="C107" s="8">
        <f t="shared" si="4"/>
        <v>13</v>
      </c>
      <c r="D107" s="5">
        <v>670120</v>
      </c>
      <c r="E107" s="4" t="s">
        <v>66</v>
      </c>
    </row>
    <row r="108" spans="3:5" x14ac:dyDescent="0.25">
      <c r="C108" s="8">
        <f t="shared" si="4"/>
        <v>14</v>
      </c>
      <c r="D108" s="5">
        <v>670301</v>
      </c>
      <c r="E108" s="4" t="s">
        <v>46</v>
      </c>
    </row>
    <row r="109" spans="3:5" s="20" customFormat="1" x14ac:dyDescent="0.25">
      <c r="C109" s="8">
        <f t="shared" si="4"/>
        <v>15</v>
      </c>
      <c r="D109" s="5">
        <v>670302</v>
      </c>
      <c r="E109" s="4" t="s">
        <v>64</v>
      </c>
    </row>
    <row r="110" spans="3:5" x14ac:dyDescent="0.25">
      <c r="C110" s="8">
        <f t="shared" si="4"/>
        <v>16</v>
      </c>
      <c r="D110" s="5">
        <v>670401</v>
      </c>
      <c r="E110" s="4" t="s">
        <v>119</v>
      </c>
    </row>
    <row r="111" spans="3:5" x14ac:dyDescent="0.25">
      <c r="C111" s="8">
        <f t="shared" si="4"/>
        <v>17</v>
      </c>
      <c r="D111" s="5">
        <v>670402</v>
      </c>
      <c r="E111" s="4" t="s">
        <v>8</v>
      </c>
    </row>
    <row r="112" spans="3:5" x14ac:dyDescent="0.25">
      <c r="C112" s="8">
        <f t="shared" si="4"/>
        <v>18</v>
      </c>
      <c r="D112" s="5">
        <v>670403</v>
      </c>
      <c r="E112" s="4" t="s">
        <v>118</v>
      </c>
    </row>
    <row r="113" spans="3:5" x14ac:dyDescent="0.25">
      <c r="C113" s="8">
        <f t="shared" si="4"/>
        <v>19</v>
      </c>
      <c r="D113" s="5">
        <v>670404</v>
      </c>
      <c r="E113" s="4" t="s">
        <v>10</v>
      </c>
    </row>
    <row r="114" spans="3:5" x14ac:dyDescent="0.25">
      <c r="C114" s="8">
        <f t="shared" si="4"/>
        <v>20</v>
      </c>
      <c r="D114" s="5">
        <v>670405</v>
      </c>
      <c r="E114" s="4" t="s">
        <v>90</v>
      </c>
    </row>
    <row r="115" spans="3:5" x14ac:dyDescent="0.25">
      <c r="C115" s="8">
        <f t="shared" si="4"/>
        <v>21</v>
      </c>
      <c r="D115" s="5">
        <v>670500</v>
      </c>
      <c r="E115" s="4" t="s">
        <v>38</v>
      </c>
    </row>
    <row r="116" spans="3:5" x14ac:dyDescent="0.25">
      <c r="C116" s="8">
        <f t="shared" si="4"/>
        <v>22</v>
      </c>
      <c r="D116" s="5">
        <v>670700</v>
      </c>
      <c r="E116" s="4" t="s">
        <v>117</v>
      </c>
    </row>
    <row r="117" spans="3:5" x14ac:dyDescent="0.25">
      <c r="C117" s="30">
        <f t="shared" si="4"/>
        <v>23</v>
      </c>
      <c r="D117" s="5">
        <v>671301</v>
      </c>
      <c r="E117" s="4" t="s">
        <v>83</v>
      </c>
    </row>
    <row r="118" spans="3:5" x14ac:dyDescent="0.25">
      <c r="C118" s="30">
        <f t="shared" si="4"/>
        <v>24</v>
      </c>
      <c r="D118" s="32">
        <v>671500</v>
      </c>
      <c r="E118" s="33" t="s">
        <v>54</v>
      </c>
    </row>
    <row r="119" spans="3:5" x14ac:dyDescent="0.25">
      <c r="C119" s="31">
        <f t="shared" si="4"/>
        <v>25</v>
      </c>
      <c r="D119" s="23">
        <v>671701</v>
      </c>
      <c r="E119" s="24" t="s">
        <v>129</v>
      </c>
    </row>
    <row r="120" spans="3:5" ht="25.5" x14ac:dyDescent="0.25">
      <c r="D120" s="5">
        <v>710014</v>
      </c>
      <c r="E120" s="27" t="s">
        <v>135</v>
      </c>
    </row>
    <row r="121" spans="3:5" x14ac:dyDescent="0.25">
      <c r="D121" s="5">
        <v>710018</v>
      </c>
      <c r="E121" s="27" t="s">
        <v>137</v>
      </c>
    </row>
    <row r="122" spans="3:5" x14ac:dyDescent="0.25">
      <c r="D122" s="5">
        <v>720021</v>
      </c>
      <c r="E122" s="28" t="s">
        <v>136</v>
      </c>
    </row>
    <row r="123" spans="3:5" x14ac:dyDescent="0.25">
      <c r="D123" s="21">
        <v>770303</v>
      </c>
      <c r="E123" s="22" t="s">
        <v>134</v>
      </c>
    </row>
  </sheetData>
  <sortState ref="C6:E123">
    <sortCondition ref="D5:D123"/>
  </sortState>
  <mergeCells count="1">
    <mergeCell ref="C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Codes Alpha</vt:lpstr>
      <vt:lpstr>Codes Num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</dc:creator>
  <cp:lastModifiedBy>IMPACT TECH</cp:lastModifiedBy>
  <dcterms:created xsi:type="dcterms:W3CDTF">2021-11-20T17:48:08Z</dcterms:created>
  <dcterms:modified xsi:type="dcterms:W3CDTF">2023-12-01T07:06:50Z</dcterms:modified>
</cp:coreProperties>
</file>